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492" firstSheet="0" activeTab="3" autoFilterDateGrouping="1"/>
  </bookViews>
  <sheets>
    <sheet xmlns:r="http://schemas.openxmlformats.org/officeDocument/2006/relationships" name="公司物料采购" sheetId="1" state="visible" r:id="rId1"/>
    <sheet xmlns:r="http://schemas.openxmlformats.org/officeDocument/2006/relationships" name="肉类采购" sheetId="2" state="visible" r:id="rId2"/>
    <sheet xmlns:r="http://schemas.openxmlformats.org/officeDocument/2006/relationships" name="日物料采购" sheetId="3" state="visible" r:id="rId3"/>
    <sheet xmlns:r="http://schemas.openxmlformats.org/officeDocument/2006/relationships" name="员工餐" sheetId="4" state="visible" r:id="rId4"/>
    <sheet xmlns:r="http://schemas.openxmlformats.org/officeDocument/2006/relationships" name="综合表" sheetId="5" state="visible" r:id="rId5"/>
  </sheets>
  <externalReferences>
    <externalReference xmlns:r="http://schemas.openxmlformats.org/officeDocument/2006/relationships" r:id="rId6"/>
  </externalReferences>
  <definedNames>
    <definedName name="类别">[1]基础信息!$T$3:$T$50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 "/>
    <numFmt numFmtId="165" formatCode="#,##0.00_ "/>
    <numFmt numFmtId="166" formatCode="0.00_ "/>
    <numFmt numFmtId="167" formatCode="0.0000_ "/>
    <numFmt numFmtId="168" formatCode="_ * #,##0.00_ ;_ * \-#,##0.00_ ;_ * &quot;-&quot;??_ ;_ @_ "/>
  </numFmts>
  <fonts count="29">
    <font>
      <name val="宋体"/>
      <charset val="134"/>
      <color theme="1"/>
      <sz val="11"/>
      <scheme val="minor"/>
    </font>
    <font>
      <name val="微软雅黑"/>
      <charset val="134"/>
      <sz val="9"/>
    </font>
    <font>
      <name val="宋体"/>
      <charset val="134"/>
      <color theme="1"/>
      <sz val="9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theme="1"/>
      <sz val="9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4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7" fillId="0" borderId="0" applyAlignment="1">
      <alignment vertical="center"/>
    </xf>
    <xf numFmtId="0" fontId="18" fillId="10" borderId="16" applyAlignment="1">
      <alignment vertical="center"/>
    </xf>
    <xf numFmtId="0" fontId="19" fillId="11" borderId="17" applyAlignment="1">
      <alignment vertical="center"/>
    </xf>
    <xf numFmtId="0" fontId="20" fillId="11" borderId="16" applyAlignment="1">
      <alignment vertical="center"/>
    </xf>
    <xf numFmtId="0" fontId="21" fillId="12" borderId="18" applyAlignment="1">
      <alignment vertical="center"/>
    </xf>
    <xf numFmtId="0" fontId="22" fillId="0" borderId="19" applyAlignment="1">
      <alignment vertical="center"/>
    </xf>
    <xf numFmtId="0" fontId="23" fillId="0" borderId="2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5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1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164" fontId="3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7" applyAlignment="1" pivotButton="0" quotePrefix="0" xfId="0">
      <alignment horizontal="left"/>
    </xf>
    <xf numFmtId="0" fontId="4" fillId="2" borderId="7" applyAlignment="1" pivotButton="0" quotePrefix="0" xfId="0">
      <alignment horizontal="left"/>
    </xf>
    <xf numFmtId="166" fontId="8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58" fontId="0" fillId="3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58" fontId="0" fillId="0" borderId="1" applyAlignment="1" pivotButton="0" quotePrefix="0" xfId="0">
      <alignment horizontal="center" vertical="center"/>
    </xf>
    <xf numFmtId="58" fontId="0" fillId="3" borderId="1" applyAlignment="1" pivotButton="0" quotePrefix="0" xfId="0">
      <alignment horizontal="center" vertical="center"/>
    </xf>
    <xf numFmtId="58" fontId="0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166" fontId="8" fillId="3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6" fontId="8" fillId="5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7" fontId="9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6" fontId="9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3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0" fillId="2" borderId="8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5" fontId="0" fillId="6" borderId="8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165" fontId="0" fillId="7" borderId="8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5" fontId="0" fillId="2" borderId="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6" borderId="8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5" applyAlignment="1" pivotButton="0" quotePrefix="0" xfId="0">
      <alignment horizontal="right"/>
    </xf>
    <xf numFmtId="2" fontId="4" fillId="0" borderId="5" applyAlignment="1" pivotButton="0" quotePrefix="0" xfId="0">
      <alignment horizontal="right"/>
    </xf>
    <xf numFmtId="165" fontId="0" fillId="2" borderId="5" applyAlignment="1" pivotButton="0" quotePrefix="0" xfId="0">
      <alignment horizontal="left" vertical="center"/>
    </xf>
    <xf numFmtId="165" fontId="0" fillId="6" borderId="5" applyAlignment="1" pivotButton="0" quotePrefix="0" xfId="0">
      <alignment horizontal="center" vertical="center"/>
    </xf>
    <xf numFmtId="165" fontId="0" fillId="7" borderId="5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" fillId="0" borderId="1" applyAlignment="1" pivotButton="0" quotePrefix="1" xfId="0">
      <alignment horizontal="center"/>
    </xf>
    <xf numFmtId="0" fontId="4" fillId="0" borderId="1" applyAlignment="1" pivotButton="0" quotePrefix="1" xfId="0">
      <alignment horizontal="left"/>
    </xf>
    <xf numFmtId="0" fontId="6" fillId="0" borderId="1" applyAlignment="1" pivotButton="0" quotePrefix="1" xfId="0">
      <alignment vertical="center"/>
    </xf>
    <xf numFmtId="0" fontId="0" fillId="0" borderId="1" applyAlignment="1" pivotButton="0" quotePrefix="1" xfId="0">
      <alignment vertical="center"/>
    </xf>
    <xf numFmtId="0" fontId="4" fillId="0" borderId="7" applyAlignment="1" pivotButton="0" quotePrefix="1" xfId="0">
      <alignment horizontal="left"/>
    </xf>
    <xf numFmtId="0" fontId="8" fillId="0" borderId="1" applyAlignment="1" pivotButton="0" quotePrefix="1" xfId="0">
      <alignment vertical="center"/>
    </xf>
    <xf numFmtId="0" fontId="1" fillId="0" borderId="1" applyAlignment="1" pivotButton="0" quotePrefix="1" xfId="0">
      <alignment horizontal="left"/>
    </xf>
    <xf numFmtId="0" fontId="6" fillId="0" borderId="1" applyAlignment="1" pivotButton="0" quotePrefix="1" xfId="0">
      <alignment horizontal="left" vertical="center"/>
    </xf>
    <xf numFmtId="0" fontId="0" fillId="0" borderId="1" applyAlignment="1" pivotButton="0" quotePrefix="1" xfId="0">
      <alignment horizontal="left" vertical="center"/>
    </xf>
    <xf numFmtId="0" fontId="0" fillId="0" borderId="1" applyAlignment="1" pivotButton="0" quotePrefix="1" xfId="0">
      <alignment vertical="center" wrapText="1"/>
    </xf>
    <xf numFmtId="165" fontId="0" fillId="6" borderId="8" applyAlignment="1" pivotButton="0" quotePrefix="0" xfId="0">
      <alignment horizontal="center" vertical="center"/>
    </xf>
    <xf numFmtId="165" fontId="0" fillId="7" borderId="8" applyAlignment="1" pivotButton="0" quotePrefix="0" xfId="0">
      <alignment horizontal="center" vertical="center"/>
    </xf>
    <xf numFmtId="164" fontId="3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2" borderId="8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2" borderId="5" applyAlignment="1" pivotButton="0" quotePrefix="0" xfId="0">
      <alignment horizontal="left" vertical="center"/>
    </xf>
    <xf numFmtId="165" fontId="0" fillId="6" borderId="5" applyAlignment="1" pivotButton="0" quotePrefix="0" xfId="0">
      <alignment horizontal="center" vertical="center"/>
    </xf>
    <xf numFmtId="165" fontId="0" fillId="7" borderId="5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8" fillId="5" borderId="1" applyAlignment="1" pivotButton="0" quotePrefix="0" xfId="0">
      <alignment vertical="center"/>
    </xf>
    <xf numFmtId="166" fontId="8" fillId="0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6" fontId="8" fillId="3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7" fontId="9" fillId="2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86183\Desktop\&#31881;&#23567;&#20027;&#25991;&#20214;&#22841;\&#36130;&#21153;&#25253;&#34920;&#21450;&#30456;&#20851;&#22522;&#30784;&#25968;&#25454;&#36164;&#26009;\&#31881;&#23567;&#20027;&#37329;&#27611;&#35272;&#31168;&#22478;&#35760;&#36134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基础信息"/>
      <sheetName val="物料信息"/>
      <sheetName val="物料采购登记"/>
      <sheetName val="采购付款登记"/>
      <sheetName val="费用登记"/>
      <sheetName val="营收登记"/>
      <sheetName val="资金流转"/>
      <sheetName val="利润核算"/>
      <sheetName val="费用汇总"/>
      <sheetName val="应付账款"/>
      <sheetName val="应付对账"/>
      <sheetName val="资金报表"/>
      <sheetName val="平台汇总"/>
      <sheetName val="物料采购汇总"/>
      <sheetName val="打印盘点表"/>
      <sheetName val="消耗自动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01"/>
  <sheetViews>
    <sheetView zoomScale="85" zoomScaleNormal="85" workbookViewId="0">
      <pane ySplit="2" topLeftCell="A61" activePane="bottomLeft" state="frozen"/>
      <selection activeCell="A1" sqref="A1"/>
      <selection pane="bottomLeft" activeCell="R27" sqref="R27"/>
    </sheetView>
  </sheetViews>
  <sheetFormatPr baseColWidth="8" defaultColWidth="8.891666666666669" defaultRowHeight="13.5"/>
  <cols>
    <col width="5" customWidth="1" style="1" min="1" max="1"/>
    <col width="8.891666666666669" customWidth="1" style="3" min="2" max="2"/>
    <col width="7.35833333333333" customWidth="1" style="3" min="3" max="3"/>
    <col width="19.3083333333333" customWidth="1" style="4" min="4" max="4"/>
    <col width="16.9416666666667" customWidth="1" style="4" min="5" max="5"/>
    <col width="15.3333333333333" customWidth="1" style="4" min="6" max="6"/>
    <col width="4.7" customWidth="1" style="3" min="7" max="7"/>
    <col width="9.858333333333331" customWidth="1" style="3" min="8" max="8"/>
    <col width="11.3916666666667" customWidth="1" style="3" min="9" max="9"/>
    <col width="5.35" customWidth="1" style="3" min="10" max="10"/>
    <col width="9.858333333333331" customWidth="1" style="3" min="11" max="11"/>
    <col width="10.8333333333333" customWidth="1" style="3" min="12" max="12"/>
    <col width="5.75" customWidth="1" style="1" min="13" max="13"/>
    <col width="9.858333333333331" customWidth="1" style="1" min="14" max="14"/>
    <col width="11.8083333333333" customWidth="1" style="1" min="15" max="15"/>
    <col width="5.35833333333333" customWidth="1" style="3" min="16" max="16"/>
    <col width="8.891666666666669" customWidth="1" style="3" min="17" max="17"/>
    <col width="12.5" customWidth="1" style="3" min="18" max="18"/>
    <col width="4.85833333333333" customWidth="1" style="3" min="19" max="19"/>
    <col width="9.858333333333331" customWidth="1" style="3" min="20" max="20"/>
    <col width="12.225" customWidth="1" style="3" min="21" max="21"/>
    <col width="6.775" customWidth="1" style="3" min="22" max="22"/>
    <col width="9.858333333333331" customWidth="1" style="3" min="23" max="24"/>
    <col width="8.891666666666669" customWidth="1" style="3" min="25" max="16384"/>
  </cols>
  <sheetData>
    <row r="1" ht="43" customHeight="1" s="3">
      <c r="A1" s="6" t="inlineStr">
        <is>
          <t>序号</t>
        </is>
      </c>
      <c r="B1" s="11" t="inlineStr">
        <is>
          <t>公司采购物料库存</t>
        </is>
      </c>
      <c r="C1" s="7" t="n"/>
      <c r="D1" s="7" t="n"/>
      <c r="E1" s="7" t="n"/>
      <c r="F1" s="7" t="n"/>
      <c r="G1" s="7" t="n"/>
      <c r="H1" s="7" t="n"/>
      <c r="I1" s="8" t="n"/>
      <c r="J1" s="76" t="inlineStr">
        <is>
          <t>7月3日进货</t>
        </is>
      </c>
      <c r="K1" s="77" t="n"/>
      <c r="L1" s="78" t="n"/>
      <c r="M1" s="76" t="inlineStr">
        <is>
          <t>7月13日进货</t>
        </is>
      </c>
      <c r="N1" s="77" t="n"/>
      <c r="O1" s="78" t="n"/>
      <c r="P1" s="76" t="inlineStr">
        <is>
          <t>7月23日进货</t>
        </is>
      </c>
      <c r="Q1" s="77" t="n"/>
      <c r="R1" s="78" t="n"/>
      <c r="S1" s="76" t="inlineStr">
        <is>
          <t>本月购入合计</t>
        </is>
      </c>
      <c r="T1" s="77" t="n"/>
      <c r="U1" s="78" t="n"/>
      <c r="V1" s="76" t="inlineStr">
        <is>
          <t>库存总计</t>
        </is>
      </c>
      <c r="W1" s="77" t="n"/>
      <c r="X1" s="78" t="n"/>
    </row>
    <row r="2">
      <c r="A2" s="12" t="n"/>
      <c r="B2" s="79" t="inlineStr">
        <is>
          <t>物料代码</t>
        </is>
      </c>
      <c r="C2" s="13" t="inlineStr">
        <is>
          <t>类别</t>
        </is>
      </c>
      <c r="D2" s="26" t="inlineStr">
        <is>
          <t>品名</t>
        </is>
      </c>
      <c r="E2" s="26" t="inlineStr">
        <is>
          <t>规格</t>
        </is>
      </c>
      <c r="F2" s="26" t="inlineStr">
        <is>
          <t>单位</t>
        </is>
      </c>
      <c r="G2" s="13" t="inlineStr">
        <is>
          <t>数量</t>
        </is>
      </c>
      <c r="H2" s="13" t="inlineStr">
        <is>
          <t>单价</t>
        </is>
      </c>
      <c r="I2" s="30" t="inlineStr">
        <is>
          <t>金额</t>
        </is>
      </c>
      <c r="J2" s="18" t="inlineStr">
        <is>
          <t>数量</t>
        </is>
      </c>
      <c r="K2" s="18" t="inlineStr">
        <is>
          <t>单价</t>
        </is>
      </c>
      <c r="L2" s="18" t="inlineStr">
        <is>
          <t>金额</t>
        </is>
      </c>
      <c r="M2" s="76" t="inlineStr">
        <is>
          <t>数量</t>
        </is>
      </c>
      <c r="N2" s="76" t="inlineStr">
        <is>
          <t>单价</t>
        </is>
      </c>
      <c r="O2" s="76" t="inlineStr">
        <is>
          <t>金额</t>
        </is>
      </c>
      <c r="P2" s="18" t="inlineStr">
        <is>
          <t>数量</t>
        </is>
      </c>
      <c r="Q2" s="18" t="inlineStr">
        <is>
          <t>单价</t>
        </is>
      </c>
      <c r="R2" s="18" t="inlineStr">
        <is>
          <t>金额</t>
        </is>
      </c>
      <c r="S2" s="18" t="inlineStr">
        <is>
          <t>数量</t>
        </is>
      </c>
      <c r="T2" s="18" t="inlineStr">
        <is>
          <t>单价</t>
        </is>
      </c>
      <c r="U2" s="18" t="inlineStr">
        <is>
          <t>金额</t>
        </is>
      </c>
      <c r="V2" s="18" t="inlineStr">
        <is>
          <t>数量</t>
        </is>
      </c>
      <c r="W2" s="18" t="inlineStr">
        <is>
          <t>单价</t>
        </is>
      </c>
      <c r="X2" s="18" t="inlineStr">
        <is>
          <t>金额</t>
        </is>
      </c>
    </row>
    <row r="3" ht="14.25" customHeight="1" s="3">
      <c r="A3" s="6" t="n">
        <v>1</v>
      </c>
      <c r="B3" s="80" t="inlineStr">
        <is>
          <t>010021</t>
        </is>
      </c>
      <c r="C3" s="15" t="inlineStr">
        <is>
          <t>食品类</t>
        </is>
      </c>
      <c r="D3" s="16" t="inlineStr">
        <is>
          <t>定制小酥肉</t>
        </is>
      </c>
      <c r="E3" s="16" t="inlineStr">
        <is>
          <t>1kg/10包/件</t>
        </is>
      </c>
      <c r="F3" s="16" t="inlineStr">
        <is>
          <t>件[1件=10包]</t>
        </is>
      </c>
      <c r="G3" s="13" t="n">
        <v>3</v>
      </c>
      <c r="H3" s="17" t="n">
        <v>428.925</v>
      </c>
      <c r="I3" s="13" t="n">
        <v>1286.775</v>
      </c>
      <c r="J3" s="42" t="n">
        <v>1</v>
      </c>
      <c r="K3" s="42" t="n">
        <v>428.925</v>
      </c>
      <c r="L3" s="81" t="n">
        <v>428.93</v>
      </c>
      <c r="M3" s="82" t="n"/>
      <c r="N3" s="82" t="n"/>
      <c r="O3" s="113" t="n"/>
      <c r="P3" s="84" t="n">
        <v>1</v>
      </c>
      <c r="Q3" s="84" t="n">
        <v>428.925</v>
      </c>
      <c r="R3" s="114" t="n">
        <v>428.93</v>
      </c>
      <c r="S3" s="18">
        <f>J3+M3+P3</f>
        <v/>
      </c>
      <c r="T3" s="115" t="n">
        <v>428.925</v>
      </c>
      <c r="U3" s="116">
        <f>L3+O3+R3</f>
        <v/>
      </c>
      <c r="V3" s="86">
        <f>G3+S3</f>
        <v/>
      </c>
      <c r="W3" s="115">
        <f>X3/V3</f>
        <v/>
      </c>
      <c r="X3" s="87">
        <f>I3+U3</f>
        <v/>
      </c>
    </row>
    <row r="4" ht="14.25" customHeight="1" s="3">
      <c r="A4" s="6" t="n">
        <v>2</v>
      </c>
      <c r="B4" s="103" t="inlineStr">
        <is>
          <t>010135</t>
        </is>
      </c>
      <c r="C4" s="15" t="inlineStr">
        <is>
          <t>食品类</t>
        </is>
      </c>
      <c r="D4" s="16" t="inlineStr">
        <is>
          <t>拉丝兰花干</t>
        </is>
      </c>
      <c r="E4" s="16" t="inlineStr">
        <is>
          <t>30条/包*12包/件</t>
        </is>
      </c>
      <c r="F4" s="16" t="inlineStr">
        <is>
          <t>件[1件=12包]</t>
        </is>
      </c>
      <c r="G4" s="13" t="n">
        <v>0</v>
      </c>
      <c r="H4" s="17" t="n">
        <v>214.2</v>
      </c>
      <c r="I4" s="13" t="n">
        <v>0</v>
      </c>
      <c r="J4" s="42" t="n"/>
      <c r="K4" s="42" t="n"/>
      <c r="L4" s="117" t="n"/>
      <c r="M4" s="82" t="n"/>
      <c r="N4" s="82" t="n"/>
      <c r="O4" s="113" t="n"/>
      <c r="P4" s="84" t="n"/>
      <c r="Q4" s="84" t="n"/>
      <c r="R4" s="114" t="n"/>
      <c r="S4" s="18">
        <f>J4+M4+P4</f>
        <v/>
      </c>
      <c r="T4" s="115" t="n">
        <v>214.2</v>
      </c>
      <c r="U4" s="116">
        <f>L4+O4+R4</f>
        <v/>
      </c>
      <c r="V4" s="86">
        <f>G4+S4</f>
        <v/>
      </c>
      <c r="W4" s="115">
        <f>X4/V4</f>
        <v/>
      </c>
      <c r="X4" s="87">
        <f>I4+U4</f>
        <v/>
      </c>
    </row>
    <row r="5" ht="14.25" customHeight="1" s="3">
      <c r="A5" s="6" t="n">
        <v>3</v>
      </c>
      <c r="B5" s="80" t="inlineStr">
        <is>
          <t>010148</t>
        </is>
      </c>
      <c r="C5" s="15" t="inlineStr">
        <is>
          <t>食品类</t>
        </is>
      </c>
      <c r="D5" s="16" t="inlineStr">
        <is>
          <t>麻辣牛肉</t>
        </is>
      </c>
      <c r="E5" s="16" t="inlineStr">
        <is>
          <t>1kg/包*20包/件</t>
        </is>
      </c>
      <c r="F5" s="16" t="inlineStr">
        <is>
          <t>件[1件=20包]</t>
        </is>
      </c>
      <c r="G5" s="13" t="n">
        <v>0.4</v>
      </c>
      <c r="H5" s="17" t="n">
        <v>1785</v>
      </c>
      <c r="I5" s="13" t="n">
        <v>714</v>
      </c>
      <c r="J5" s="42" t="n"/>
      <c r="K5" s="42" t="n"/>
      <c r="L5" s="81" t="n"/>
      <c r="M5" s="82" t="n"/>
      <c r="N5" s="82" t="n"/>
      <c r="O5" s="113" t="n"/>
      <c r="P5" s="84" t="n">
        <v>1</v>
      </c>
      <c r="Q5" s="84" t="n">
        <v>1785</v>
      </c>
      <c r="R5" s="114" t="n">
        <v>1785</v>
      </c>
      <c r="S5" s="18">
        <f>J5+M5+P5</f>
        <v/>
      </c>
      <c r="T5" s="115" t="n">
        <v>1785</v>
      </c>
      <c r="U5" s="116">
        <f>L5+O5+R5</f>
        <v/>
      </c>
      <c r="V5" s="86">
        <f>G5+S5</f>
        <v/>
      </c>
      <c r="W5" s="115">
        <f>X5/V5</f>
        <v/>
      </c>
      <c r="X5" s="87">
        <f>I5+U5</f>
        <v/>
      </c>
    </row>
    <row r="6" ht="14.25" customHeight="1" s="3">
      <c r="A6" s="6" t="n">
        <v>4</v>
      </c>
      <c r="B6" s="80" t="inlineStr">
        <is>
          <t>010153</t>
        </is>
      </c>
      <c r="C6" s="15" t="inlineStr">
        <is>
          <t>食品类</t>
        </is>
      </c>
      <c r="D6" s="16" t="inlineStr">
        <is>
          <t>烈火牛肉串</t>
        </is>
      </c>
      <c r="E6" s="16" t="inlineStr">
        <is>
          <t>100串/包*10包/件</t>
        </is>
      </c>
      <c r="F6" s="16" t="inlineStr">
        <is>
          <t>件[1件=10包]</t>
        </is>
      </c>
      <c r="G6" s="13" t="n">
        <v>3.7</v>
      </c>
      <c r="H6" s="17" t="n">
        <v>840</v>
      </c>
      <c r="I6" s="13" t="n">
        <v>3108</v>
      </c>
      <c r="J6" s="42" t="n">
        <v>1</v>
      </c>
      <c r="K6" s="42" t="n">
        <v>840</v>
      </c>
      <c r="L6" s="117" t="n">
        <v>840</v>
      </c>
      <c r="M6" s="82" t="inlineStr">
        <is>
          <t>2</t>
        </is>
      </c>
      <c r="N6" s="82" t="n">
        <v>840</v>
      </c>
      <c r="O6" s="113" t="n">
        <v>1680</v>
      </c>
      <c r="P6" s="84" t="n"/>
      <c r="Q6" s="84" t="n"/>
      <c r="R6" s="114" t="n"/>
      <c r="S6" s="18">
        <f>J6+M6+P6</f>
        <v/>
      </c>
      <c r="T6" s="115" t="n">
        <v>840</v>
      </c>
      <c r="U6" s="116">
        <f>L6+O6+R6</f>
        <v/>
      </c>
      <c r="V6" s="86">
        <f>G6+S6</f>
        <v/>
      </c>
      <c r="W6" s="115">
        <f>X6/V6</f>
        <v/>
      </c>
      <c r="X6" s="87">
        <f>I6+U6</f>
        <v/>
      </c>
    </row>
    <row r="7" ht="14.25" customHeight="1" s="3">
      <c r="A7" s="6" t="n">
        <v>5</v>
      </c>
      <c r="B7" s="80" t="inlineStr">
        <is>
          <t>010156</t>
        </is>
      </c>
      <c r="C7" s="15" t="inlineStr">
        <is>
          <t>食品类</t>
        </is>
      </c>
      <c r="D7" s="16" t="inlineStr">
        <is>
          <t>生牛肉片（牛脖）</t>
        </is>
      </c>
      <c r="E7" s="16" t="inlineStr">
        <is>
          <t>1000g/包*10包/件</t>
        </is>
      </c>
      <c r="F7" s="16" t="inlineStr">
        <is>
          <t>件[1件=10包]</t>
        </is>
      </c>
      <c r="G7" s="13" t="n">
        <v>0</v>
      </c>
      <c r="H7" s="17" t="n">
        <v>766.5</v>
      </c>
      <c r="I7" s="13" t="n">
        <v>0</v>
      </c>
      <c r="J7" s="42" t="n"/>
      <c r="K7" s="42" t="n"/>
      <c r="L7" s="117" t="n"/>
      <c r="M7" s="82" t="n"/>
      <c r="N7" s="82" t="n"/>
      <c r="O7" s="113" t="n"/>
      <c r="P7" s="84" t="n"/>
      <c r="Q7" s="84" t="n"/>
      <c r="R7" s="114" t="n"/>
      <c r="S7" s="18">
        <f>J7+M7+P7</f>
        <v/>
      </c>
      <c r="T7" s="115" t="n">
        <v>766.5</v>
      </c>
      <c r="U7" s="116">
        <f>L7+O7+R7</f>
        <v/>
      </c>
      <c r="V7" s="86">
        <f>G7+S7</f>
        <v/>
      </c>
      <c r="W7" s="115">
        <f>X7/V7</f>
        <v/>
      </c>
      <c r="X7" s="87">
        <f>I7+U7</f>
        <v/>
      </c>
    </row>
    <row r="8" ht="14.25" customHeight="1" s="3">
      <c r="A8" s="6" t="n">
        <v>6</v>
      </c>
      <c r="B8" s="80" t="inlineStr">
        <is>
          <t>010158</t>
        </is>
      </c>
      <c r="C8" s="15" t="inlineStr">
        <is>
          <t>食品类</t>
        </is>
      </c>
      <c r="D8" s="16" t="inlineStr">
        <is>
          <t>黑胡椒牛肉馅饼</t>
        </is>
      </c>
      <c r="E8" s="16" t="inlineStr">
        <is>
          <t>10个/包*6包/件</t>
        </is>
      </c>
      <c r="F8" s="16" t="inlineStr">
        <is>
          <t>件[1件=6包]</t>
        </is>
      </c>
      <c r="G8" s="13" t="n">
        <v>5.83333333333333</v>
      </c>
      <c r="H8" s="17" t="n">
        <v>141.75</v>
      </c>
      <c r="I8" s="13" t="n">
        <v>826.875</v>
      </c>
      <c r="J8" s="42" t="n">
        <v>5</v>
      </c>
      <c r="K8" s="42" t="n">
        <v>141.75</v>
      </c>
      <c r="L8" s="81" t="n">
        <v>708.75</v>
      </c>
      <c r="M8" s="82" t="n">
        <v>3</v>
      </c>
      <c r="N8" s="82" t="n">
        <v>141.75</v>
      </c>
      <c r="O8" s="113" t="n">
        <v>425.25</v>
      </c>
      <c r="P8" s="84" t="n">
        <v>4</v>
      </c>
      <c r="Q8" s="84" t="n">
        <v>141.75</v>
      </c>
      <c r="R8" s="114" t="n">
        <v>567</v>
      </c>
      <c r="S8" s="18">
        <f>J8+M8+P8</f>
        <v/>
      </c>
      <c r="T8" s="115" t="n">
        <v>141.75</v>
      </c>
      <c r="U8" s="116">
        <f>L8+O8+R8</f>
        <v/>
      </c>
      <c r="V8" s="86">
        <f>G8+S8</f>
        <v/>
      </c>
      <c r="W8" s="115">
        <f>X8/V8</f>
        <v/>
      </c>
      <c r="X8" s="87">
        <f>I8+U8</f>
        <v/>
      </c>
    </row>
    <row r="9" ht="14.25" customHeight="1" s="3">
      <c r="A9" s="6" t="n">
        <v>7</v>
      </c>
      <c r="B9" s="80" t="inlineStr">
        <is>
          <t>010182</t>
        </is>
      </c>
      <c r="C9" s="15" t="inlineStr">
        <is>
          <t>食品类</t>
        </is>
      </c>
      <c r="D9" s="16" t="inlineStr">
        <is>
          <t>鲜切牛杂</t>
        </is>
      </c>
      <c r="E9" s="16" t="inlineStr">
        <is>
          <t>1kg/包/14包/件</t>
        </is>
      </c>
      <c r="F9" s="16" t="inlineStr">
        <is>
          <t>件[1件=14包]</t>
        </is>
      </c>
      <c r="G9" s="13" t="n">
        <v>1.71428571428571</v>
      </c>
      <c r="H9" s="17" t="n">
        <v>955.5</v>
      </c>
      <c r="I9" s="13" t="n">
        <v>1638</v>
      </c>
      <c r="J9" s="42" t="n"/>
      <c r="K9" s="42" t="n"/>
      <c r="L9" s="117" t="n"/>
      <c r="M9" s="82" t="n"/>
      <c r="N9" s="82" t="n"/>
      <c r="O9" s="113" t="n"/>
      <c r="P9" s="84" t="n">
        <v>1</v>
      </c>
      <c r="Q9" s="84" t="n">
        <v>955.5</v>
      </c>
      <c r="R9" s="114" t="n">
        <v>955.5</v>
      </c>
      <c r="S9" s="18">
        <f>J9+M9+P9</f>
        <v/>
      </c>
      <c r="T9" s="115" t="n">
        <v>955.5</v>
      </c>
      <c r="U9" s="116">
        <f>L9+O9+R9</f>
        <v/>
      </c>
      <c r="V9" s="86">
        <f>G9+S9</f>
        <v/>
      </c>
      <c r="W9" s="115">
        <f>X9/V9</f>
        <v/>
      </c>
      <c r="X9" s="87">
        <f>I9+U9</f>
        <v/>
      </c>
    </row>
    <row r="10" ht="14.25" customHeight="1" s="3">
      <c r="A10" s="6" t="n">
        <v>8</v>
      </c>
      <c r="B10" s="80" t="inlineStr">
        <is>
          <t>010186</t>
        </is>
      </c>
      <c r="C10" s="15" t="inlineStr">
        <is>
          <t>食品类</t>
        </is>
      </c>
      <c r="D10" s="16" t="inlineStr">
        <is>
          <t>定制肥牛片</t>
        </is>
      </c>
      <c r="E10" s="16" t="inlineStr">
        <is>
          <t>100g/包*100包/件</t>
        </is>
      </c>
      <c r="F10" s="16" t="inlineStr">
        <is>
          <t>件[1件=100包]</t>
        </is>
      </c>
      <c r="G10" s="13" t="n">
        <v>2.5</v>
      </c>
      <c r="H10" s="17" t="n">
        <v>819</v>
      </c>
      <c r="I10" s="13" t="n">
        <v>2047.5</v>
      </c>
      <c r="J10" s="42" t="n">
        <v>2</v>
      </c>
      <c r="K10" s="42" t="n">
        <v>819</v>
      </c>
      <c r="L10" s="117" t="n">
        <v>1638</v>
      </c>
      <c r="M10" s="82" t="n"/>
      <c r="N10" s="82" t="n"/>
      <c r="O10" s="113" t="n"/>
      <c r="P10" s="84" t="n"/>
      <c r="Q10" s="84" t="n"/>
      <c r="R10" s="114" t="n"/>
      <c r="S10" s="18">
        <f>J10+M10+P10</f>
        <v/>
      </c>
      <c r="T10" s="115" t="n">
        <v>819</v>
      </c>
      <c r="U10" s="116">
        <f>L10+O10+R10</f>
        <v/>
      </c>
      <c r="V10" s="86">
        <f>G10+S10</f>
        <v/>
      </c>
      <c r="W10" s="115">
        <f>X10/V10</f>
        <v/>
      </c>
      <c r="X10" s="87">
        <f>I10+U10</f>
        <v/>
      </c>
    </row>
    <row r="11" ht="14.25" customHeight="1" s="3">
      <c r="A11" s="6" t="n">
        <v>9</v>
      </c>
      <c r="B11" s="80" t="inlineStr">
        <is>
          <t>010206</t>
        </is>
      </c>
      <c r="C11" s="15" t="inlineStr">
        <is>
          <t>食品类</t>
        </is>
      </c>
      <c r="D11" s="16" t="inlineStr">
        <is>
          <t>豆腐丸子（大）</t>
        </is>
      </c>
      <c r="E11" s="16" t="inlineStr">
        <is>
          <t>250G/包*35包/件</t>
        </is>
      </c>
      <c r="F11" s="16" t="inlineStr">
        <is>
          <t>件[1件=35包]</t>
        </is>
      </c>
      <c r="G11" s="13" t="n">
        <v>0</v>
      </c>
      <c r="H11" s="17" t="n">
        <v>220.5</v>
      </c>
      <c r="I11" s="13" t="n">
        <v>0</v>
      </c>
      <c r="J11" s="42" t="n"/>
      <c r="K11" s="42" t="n"/>
      <c r="L11" s="117" t="n"/>
      <c r="M11" s="82" t="n"/>
      <c r="N11" s="82" t="n"/>
      <c r="O11" s="113" t="n"/>
      <c r="P11" s="84" t="n"/>
      <c r="Q11" s="84" t="n"/>
      <c r="R11" s="114" t="n"/>
      <c r="S11" s="18">
        <f>J11+M11+P11</f>
        <v/>
      </c>
      <c r="T11" s="115" t="n">
        <v>220.5</v>
      </c>
      <c r="U11" s="116">
        <f>L11+O11+R11</f>
        <v/>
      </c>
      <c r="V11" s="86">
        <f>G11+S11</f>
        <v/>
      </c>
      <c r="W11" s="115">
        <f>X11/V11</f>
        <v/>
      </c>
      <c r="X11" s="87">
        <f>I11+U11</f>
        <v/>
      </c>
    </row>
    <row r="12" ht="14.25" customHeight="1" s="3">
      <c r="A12" s="6" t="n">
        <v>10</v>
      </c>
      <c r="B12" s="80" t="inlineStr">
        <is>
          <t>010207</t>
        </is>
      </c>
      <c r="C12" s="15" t="inlineStr">
        <is>
          <t>食品类</t>
        </is>
      </c>
      <c r="D12" s="16" t="inlineStr">
        <is>
          <t>狼牙土豆</t>
        </is>
      </c>
      <c r="E12" s="16" t="inlineStr">
        <is>
          <t>1kg/包*10包/件</t>
        </is>
      </c>
      <c r="F12" s="16" t="inlineStr">
        <is>
          <t>件[1件=10包]</t>
        </is>
      </c>
      <c r="G12" s="13" t="n">
        <v>3.5</v>
      </c>
      <c r="H12" s="17" t="n">
        <v>168</v>
      </c>
      <c r="I12" s="13" t="n">
        <v>588</v>
      </c>
      <c r="J12" s="42" t="n">
        <v>2</v>
      </c>
      <c r="K12" s="42" t="n">
        <v>168</v>
      </c>
      <c r="L12" s="81" t="n">
        <v>336</v>
      </c>
      <c r="M12" s="82" t="n">
        <v>2</v>
      </c>
      <c r="N12" s="82" t="n">
        <v>168</v>
      </c>
      <c r="O12" s="113" t="n">
        <v>336</v>
      </c>
      <c r="P12" s="84" t="n">
        <v>2</v>
      </c>
      <c r="Q12" s="84" t="n">
        <v>168</v>
      </c>
      <c r="R12" s="114" t="n">
        <v>336</v>
      </c>
      <c r="S12" s="18">
        <f>J12+M12+P12</f>
        <v/>
      </c>
      <c r="T12" s="115" t="n">
        <v>168</v>
      </c>
      <c r="U12" s="116">
        <f>L12+O12+R12</f>
        <v/>
      </c>
      <c r="V12" s="86">
        <f>G12+S12</f>
        <v/>
      </c>
      <c r="W12" s="115">
        <f>X12/V12</f>
        <v/>
      </c>
      <c r="X12" s="87">
        <f>I12+U12</f>
        <v/>
      </c>
    </row>
    <row r="13" ht="14.25" customHeight="1" s="3">
      <c r="A13" s="6" t="n">
        <v>11</v>
      </c>
      <c r="B13" s="80" t="inlineStr">
        <is>
          <t>010219</t>
        </is>
      </c>
      <c r="C13" s="15" t="inlineStr">
        <is>
          <t>食品类</t>
        </is>
      </c>
      <c r="D13" s="16" t="inlineStr">
        <is>
          <t>牛筋丸</t>
        </is>
      </c>
      <c r="E13" s="16" t="inlineStr">
        <is>
          <t>500g/包*20包/件</t>
        </is>
      </c>
      <c r="F13" s="16" t="inlineStr">
        <is>
          <t>件[1件=20包]</t>
        </is>
      </c>
      <c r="G13" s="13" t="n">
        <v>1.05</v>
      </c>
      <c r="H13" s="17" t="n">
        <v>630</v>
      </c>
      <c r="I13" s="13" t="n">
        <v>661.5</v>
      </c>
      <c r="J13" s="42" t="n"/>
      <c r="K13" s="42" t="n"/>
      <c r="L13" s="117" t="n"/>
      <c r="M13" s="82" t="n"/>
      <c r="N13" s="82" t="n"/>
      <c r="O13" s="113" t="n"/>
      <c r="P13" s="84" t="n"/>
      <c r="Q13" s="84" t="n"/>
      <c r="R13" s="114" t="n"/>
      <c r="S13" s="18">
        <f>J13+M13+P13</f>
        <v/>
      </c>
      <c r="T13" s="115" t="n">
        <v>630</v>
      </c>
      <c r="U13" s="116">
        <f>L13+O13+R13</f>
        <v/>
      </c>
      <c r="V13" s="86">
        <f>G13+S13</f>
        <v/>
      </c>
      <c r="W13" s="115">
        <f>X13/V13</f>
        <v/>
      </c>
      <c r="X13" s="87">
        <f>I13+U13</f>
        <v/>
      </c>
    </row>
    <row r="14" ht="14.25" customHeight="1" s="3">
      <c r="A14" s="6" t="n">
        <v>12</v>
      </c>
      <c r="B14" s="80" t="inlineStr">
        <is>
          <t>010220</t>
        </is>
      </c>
      <c r="C14" s="15" t="inlineStr">
        <is>
          <t>食品类</t>
        </is>
      </c>
      <c r="D14" s="16" t="inlineStr">
        <is>
          <t>毛肚</t>
        </is>
      </c>
      <c r="E14" s="16" t="inlineStr">
        <is>
          <t>500g/包*30包/件</t>
        </is>
      </c>
      <c r="F14" s="16" t="inlineStr">
        <is>
          <t>件[1件=30包]</t>
        </is>
      </c>
      <c r="G14" s="13" t="n">
        <v>0</v>
      </c>
      <c r="H14" s="17" t="n">
        <v>0</v>
      </c>
      <c r="I14" s="13" t="n">
        <v>0</v>
      </c>
      <c r="J14" s="42" t="n"/>
      <c r="K14" s="42" t="n"/>
      <c r="L14" s="117" t="n"/>
      <c r="M14" s="82" t="n"/>
      <c r="N14" s="82" t="n"/>
      <c r="O14" s="113" t="n"/>
      <c r="P14" s="84" t="n"/>
      <c r="Q14" s="84" t="n"/>
      <c r="R14" s="114" t="n"/>
      <c r="S14" s="18">
        <f>J14+M14+P14</f>
        <v/>
      </c>
      <c r="T14" s="115" t="n">
        <v>0</v>
      </c>
      <c r="U14" s="116">
        <f>L14+O14+R14</f>
        <v/>
      </c>
      <c r="V14" s="86">
        <f>G14+S14</f>
        <v/>
      </c>
      <c r="W14" s="115">
        <f>X14/V14</f>
        <v/>
      </c>
      <c r="X14" s="87">
        <f>I14+U14</f>
        <v/>
      </c>
    </row>
    <row r="15" ht="14.25" customHeight="1" s="3">
      <c r="A15" s="6" t="n">
        <v>13</v>
      </c>
      <c r="B15" s="80" t="inlineStr">
        <is>
          <t>010221</t>
        </is>
      </c>
      <c r="C15" s="15" t="inlineStr">
        <is>
          <t>食品类</t>
        </is>
      </c>
      <c r="D15" s="16" t="inlineStr">
        <is>
          <t>虎皮豆干</t>
        </is>
      </c>
      <c r="E15" s="16" t="inlineStr">
        <is>
          <t>1.25kg/包*6包/件</t>
        </is>
      </c>
      <c r="F15" s="16" t="inlineStr">
        <is>
          <t>件[1件=6包]</t>
        </is>
      </c>
      <c r="G15" s="13" t="n">
        <v>0</v>
      </c>
      <c r="H15" s="17" t="n">
        <v>0</v>
      </c>
      <c r="I15" s="13" t="n">
        <v>0</v>
      </c>
      <c r="J15" s="42" t="n"/>
      <c r="K15" s="42" t="n"/>
      <c r="L15" s="117" t="n"/>
      <c r="M15" s="82" t="n"/>
      <c r="N15" s="82" t="n"/>
      <c r="O15" s="113" t="n"/>
      <c r="P15" s="84" t="n"/>
      <c r="Q15" s="84" t="n"/>
      <c r="R15" s="114" t="n"/>
      <c r="S15" s="18">
        <f>J15+M15+P15</f>
        <v/>
      </c>
      <c r="T15" s="115" t="n">
        <v>0</v>
      </c>
      <c r="U15" s="116">
        <f>L15+O15+R15</f>
        <v/>
      </c>
      <c r="V15" s="86">
        <f>G15+S15</f>
        <v/>
      </c>
      <c r="W15" s="115">
        <f>X15/V15</f>
        <v/>
      </c>
      <c r="X15" s="87">
        <f>I15+U15</f>
        <v/>
      </c>
    </row>
    <row r="16" ht="14.25" customHeight="1" s="3">
      <c r="A16" s="6" t="n">
        <v>14</v>
      </c>
      <c r="B16" s="80" t="inlineStr">
        <is>
          <t>010223</t>
        </is>
      </c>
      <c r="C16" s="15" t="inlineStr">
        <is>
          <t>食品类</t>
        </is>
      </c>
      <c r="D16" s="16" t="inlineStr">
        <is>
          <t>糯米水晶木薯</t>
        </is>
      </c>
      <c r="E16" s="16" t="inlineStr">
        <is>
          <t>1.5kg/包*10包/件</t>
        </is>
      </c>
      <c r="F16" s="16" t="inlineStr">
        <is>
          <t>件[1件=10包]</t>
        </is>
      </c>
      <c r="G16" s="13" t="n">
        <v>1.3</v>
      </c>
      <c r="H16" s="17" t="n">
        <v>395</v>
      </c>
      <c r="I16" s="13" t="n">
        <v>513.5</v>
      </c>
      <c r="J16" s="42" t="n"/>
      <c r="K16" s="42" t="n"/>
      <c r="L16" s="117" t="n"/>
      <c r="M16" s="82" t="n"/>
      <c r="N16" s="82" t="n"/>
      <c r="O16" s="113" t="n"/>
      <c r="P16" s="84" t="n"/>
      <c r="Q16" s="84" t="n"/>
      <c r="R16" s="114" t="n"/>
      <c r="S16" s="18">
        <f>J16+M16+P16</f>
        <v/>
      </c>
      <c r="T16" s="115" t="n">
        <v>395</v>
      </c>
      <c r="U16" s="116">
        <f>L16+O16+R16</f>
        <v/>
      </c>
      <c r="V16" s="86">
        <f>G16+S16</f>
        <v/>
      </c>
      <c r="W16" s="115">
        <f>X16/V16</f>
        <v/>
      </c>
      <c r="X16" s="87">
        <f>I16+U16</f>
        <v/>
      </c>
    </row>
    <row r="17" ht="14.25" customHeight="1" s="3">
      <c r="A17" s="6" t="n">
        <v>15</v>
      </c>
      <c r="B17" s="80" t="inlineStr">
        <is>
          <t>010224</t>
        </is>
      </c>
      <c r="C17" s="15" t="inlineStr">
        <is>
          <t>食品类</t>
        </is>
      </c>
      <c r="D17" s="16" t="inlineStr">
        <is>
          <t>迷你糍粑</t>
        </is>
      </c>
      <c r="E17" s="16" t="inlineStr">
        <is>
          <t>1kg*10包/件</t>
        </is>
      </c>
      <c r="F17" s="16" t="inlineStr">
        <is>
          <t>件[1件=10包]</t>
        </is>
      </c>
      <c r="G17" s="13" t="n">
        <v>0</v>
      </c>
      <c r="H17" s="17" t="n">
        <v>200</v>
      </c>
      <c r="I17" s="13" t="n">
        <v>0</v>
      </c>
      <c r="J17" s="42" t="n"/>
      <c r="K17" s="42" t="n"/>
      <c r="L17" s="117" t="n"/>
      <c r="M17" s="82" t="n">
        <v>2</v>
      </c>
      <c r="N17" s="82" t="n">
        <v>200</v>
      </c>
      <c r="O17" s="113" t="n">
        <v>400</v>
      </c>
      <c r="P17" s="84" t="n"/>
      <c r="Q17" s="84" t="n"/>
      <c r="R17" s="114" t="n"/>
      <c r="S17" s="18">
        <f>J17+M17+P17</f>
        <v/>
      </c>
      <c r="T17" s="115" t="n">
        <v>200</v>
      </c>
      <c r="U17" s="116">
        <f>L17+O17+R17</f>
        <v/>
      </c>
      <c r="V17" s="86">
        <f>G17+S17</f>
        <v/>
      </c>
      <c r="W17" s="115">
        <f>X17/V17</f>
        <v/>
      </c>
      <c r="X17" s="87">
        <f>I17+U17</f>
        <v/>
      </c>
    </row>
    <row r="18" ht="14.25" customHeight="1" s="3">
      <c r="A18" s="6" t="n">
        <v>16</v>
      </c>
      <c r="B18" s="103" t="inlineStr">
        <is>
          <t>010225</t>
        </is>
      </c>
      <c r="C18" s="15" t="inlineStr">
        <is>
          <t>食品类</t>
        </is>
      </c>
      <c r="D18" s="16" t="inlineStr">
        <is>
          <t>原切肥肠</t>
        </is>
      </c>
      <c r="E18" s="16" t="inlineStr">
        <is>
          <t>1kg*10包/件</t>
        </is>
      </c>
      <c r="F18" s="16" t="inlineStr">
        <is>
          <t>件[1件=10包]</t>
        </is>
      </c>
      <c r="G18" s="13" t="n">
        <v>0</v>
      </c>
      <c r="H18" s="17" t="n">
        <v>830</v>
      </c>
      <c r="I18" s="13" t="n">
        <v>0</v>
      </c>
      <c r="J18" s="42" t="n"/>
      <c r="K18" s="42" t="n"/>
      <c r="L18" s="117" t="n"/>
      <c r="M18" s="82" t="n"/>
      <c r="N18" s="82" t="n"/>
      <c r="O18" s="113" t="n"/>
      <c r="P18" s="84" t="n"/>
      <c r="Q18" s="84" t="n"/>
      <c r="R18" s="114" t="n"/>
      <c r="S18" s="18">
        <f>J18+M18+P18</f>
        <v/>
      </c>
      <c r="T18" s="115" t="n">
        <v>830</v>
      </c>
      <c r="U18" s="116">
        <f>L18+O18+R18</f>
        <v/>
      </c>
      <c r="V18" s="86">
        <f>G18+S18</f>
        <v/>
      </c>
      <c r="W18" s="115">
        <f>X18/V18</f>
        <v/>
      </c>
      <c r="X18" s="87">
        <f>I18+U18</f>
        <v/>
      </c>
    </row>
    <row r="19" ht="14.25" customHeight="1" s="3">
      <c r="A19" s="6" t="n">
        <v>17</v>
      </c>
      <c r="B19" s="80" t="inlineStr">
        <is>
          <t>010008</t>
        </is>
      </c>
      <c r="C19" s="15" t="inlineStr">
        <is>
          <t>食品类</t>
        </is>
      </c>
      <c r="D19" s="16" t="inlineStr">
        <is>
          <t>二荆条泡椒（粉小主）</t>
        </is>
      </c>
      <c r="E19" s="16" t="inlineStr">
        <is>
          <t>500g/包*20包/件</t>
        </is>
      </c>
      <c r="F19" s="16" t="inlineStr">
        <is>
          <t>件[1件=20包]</t>
        </is>
      </c>
      <c r="G19" s="13" t="n">
        <v>2</v>
      </c>
      <c r="H19" s="17" t="n">
        <v>144.9</v>
      </c>
      <c r="I19" s="13" t="n">
        <v>289.8</v>
      </c>
      <c r="J19" s="42" t="n"/>
      <c r="K19" s="42" t="n"/>
      <c r="L19" s="117" t="n"/>
      <c r="M19" s="82" t="n"/>
      <c r="N19" s="82" t="n"/>
      <c r="O19" s="113" t="n"/>
      <c r="P19" s="84" t="n"/>
      <c r="Q19" s="84" t="n"/>
      <c r="R19" s="114" t="n"/>
      <c r="S19" s="18">
        <f>J19+M19+P19</f>
        <v/>
      </c>
      <c r="T19" s="115" t="n">
        <v>144.9</v>
      </c>
      <c r="U19" s="116">
        <f>L19+O19+R19</f>
        <v/>
      </c>
      <c r="V19" s="86">
        <f>G19+S19</f>
        <v/>
      </c>
      <c r="W19" s="115">
        <f>X19/V19</f>
        <v/>
      </c>
      <c r="X19" s="87">
        <f>I19+U19</f>
        <v/>
      </c>
    </row>
    <row r="20" ht="29" customHeight="1" s="3">
      <c r="A20" s="6" t="n">
        <v>18</v>
      </c>
      <c r="B20" s="80" t="inlineStr">
        <is>
          <t>010027</t>
        </is>
      </c>
      <c r="C20" s="15" t="inlineStr">
        <is>
          <t>食品类</t>
        </is>
      </c>
      <c r="D20" s="16" t="inlineStr">
        <is>
          <t>番茄酱</t>
        </is>
      </c>
      <c r="E20" s="16" t="inlineStr">
        <is>
          <t>1kg/包*16包/件</t>
        </is>
      </c>
      <c r="F20" s="16" t="inlineStr">
        <is>
          <t>件[1件=16包]</t>
        </is>
      </c>
      <c r="G20" s="13" t="n">
        <v>1.3125</v>
      </c>
      <c r="H20" s="17" t="n">
        <v>473.09</v>
      </c>
      <c r="I20" s="13" t="n">
        <v>620.930625</v>
      </c>
      <c r="J20" s="42" t="n"/>
      <c r="K20" s="42" t="n"/>
      <c r="L20" s="117" t="n"/>
      <c r="M20" s="82" t="n">
        <v>1</v>
      </c>
      <c r="N20" s="82" t="n">
        <v>473.09</v>
      </c>
      <c r="O20" s="82" t="n">
        <v>473.09</v>
      </c>
      <c r="P20" s="84">
        <f>10/16</f>
        <v/>
      </c>
      <c r="Q20" s="84" t="n">
        <v>473.09</v>
      </c>
      <c r="R20" s="114" t="n">
        <v>295.68</v>
      </c>
      <c r="S20" s="18">
        <f>J20+M20+P20</f>
        <v/>
      </c>
      <c r="T20" s="115" t="n">
        <v>473.09</v>
      </c>
      <c r="U20" s="116">
        <f>L20+O20+R20</f>
        <v/>
      </c>
      <c r="V20" s="86">
        <f>G20+S20</f>
        <v/>
      </c>
      <c r="W20" s="115">
        <f>X20/V20</f>
        <v/>
      </c>
      <c r="X20" s="87">
        <f>I20+U20</f>
        <v/>
      </c>
    </row>
    <row r="21" ht="14.25" customHeight="1" s="3">
      <c r="A21" s="6" t="n">
        <v>19</v>
      </c>
      <c r="B21" s="80" t="inlineStr">
        <is>
          <t>010043</t>
        </is>
      </c>
      <c r="C21" s="15" t="inlineStr">
        <is>
          <t>食品类</t>
        </is>
      </c>
      <c r="D21" s="16" t="inlineStr">
        <is>
          <t>湘下佬干米粉（细1.1）</t>
        </is>
      </c>
      <c r="E21" s="16" t="inlineStr">
        <is>
          <t>25kg/件</t>
        </is>
      </c>
      <c r="F21" s="16" t="inlineStr">
        <is>
          <t>件[1件=5包]</t>
        </is>
      </c>
      <c r="G21" s="13" t="n">
        <v>27</v>
      </c>
      <c r="H21" s="17" t="n">
        <v>194.25</v>
      </c>
      <c r="I21" s="13" t="n">
        <v>5244.75</v>
      </c>
      <c r="J21" s="42" t="n">
        <v>10</v>
      </c>
      <c r="K21" s="42" t="n">
        <v>194.25</v>
      </c>
      <c r="L21" s="81" t="n">
        <v>1942.5</v>
      </c>
      <c r="M21" s="82" t="n">
        <v>15</v>
      </c>
      <c r="N21" s="82" t="n">
        <v>194.25</v>
      </c>
      <c r="O21" s="113" t="n">
        <v>2913.75</v>
      </c>
      <c r="P21" s="84" t="n">
        <v>15</v>
      </c>
      <c r="Q21" s="84" t="n">
        <v>194.25</v>
      </c>
      <c r="R21" s="114" t="n">
        <v>2913.75</v>
      </c>
      <c r="S21" s="18">
        <f>J21+M21+P21</f>
        <v/>
      </c>
      <c r="T21" s="115" t="n">
        <v>194.25</v>
      </c>
      <c r="U21" s="116">
        <f>L21+O21+R21</f>
        <v/>
      </c>
      <c r="V21" s="86">
        <f>G21+S21</f>
        <v/>
      </c>
      <c r="W21" s="115">
        <f>X21/V21</f>
        <v/>
      </c>
      <c r="X21" s="87">
        <f>I21+U21</f>
        <v/>
      </c>
    </row>
    <row r="22" ht="14.25" customHeight="1" s="3">
      <c r="A22" s="6" t="n">
        <v>20</v>
      </c>
      <c r="B22" s="80" t="inlineStr">
        <is>
          <t>010058</t>
        </is>
      </c>
      <c r="C22" s="15" t="inlineStr">
        <is>
          <t>食品类</t>
        </is>
      </c>
      <c r="D22" s="16" t="inlineStr">
        <is>
          <t>博多黑糖</t>
        </is>
      </c>
      <c r="E22" s="16" t="inlineStr">
        <is>
          <t>1.9L/瓶*8瓶/件</t>
        </is>
      </c>
      <c r="F22" s="16" t="inlineStr">
        <is>
          <t>瓶</t>
        </is>
      </c>
      <c r="G22" s="13" t="n">
        <v>2</v>
      </c>
      <c r="H22" s="17" t="n">
        <v>56.7</v>
      </c>
      <c r="I22" s="13" t="n">
        <v>113.4</v>
      </c>
      <c r="J22" s="42" t="n"/>
      <c r="K22" s="42" t="n"/>
      <c r="L22" s="117" t="n"/>
      <c r="M22" s="82" t="n"/>
      <c r="N22" s="82" t="n"/>
      <c r="O22" s="113" t="n"/>
      <c r="P22" s="84" t="n"/>
      <c r="Q22" s="84" t="n"/>
      <c r="R22" s="114" t="n"/>
      <c r="S22" s="18">
        <f>J22+M22+P22</f>
        <v/>
      </c>
      <c r="T22" s="115" t="n">
        <v>56.7</v>
      </c>
      <c r="U22" s="116">
        <f>L22+O22+R22</f>
        <v/>
      </c>
      <c r="V22" s="86">
        <f>G22+S22</f>
        <v/>
      </c>
      <c r="W22" s="115">
        <f>X22/V22</f>
        <v/>
      </c>
      <c r="X22" s="87">
        <f>I22+U22</f>
        <v/>
      </c>
    </row>
    <row r="23" ht="14.25" customHeight="1" s="3">
      <c r="A23" s="6" t="n">
        <v>21</v>
      </c>
      <c r="B23" s="80" t="inlineStr">
        <is>
          <t>010071</t>
        </is>
      </c>
      <c r="C23" s="15" t="inlineStr">
        <is>
          <t>食品类</t>
        </is>
      </c>
      <c r="D23" s="16" t="inlineStr">
        <is>
          <t>湘下佬白凉粉</t>
        </is>
      </c>
      <c r="E23" s="16" t="inlineStr">
        <is>
          <t>1kg*20包/件</t>
        </is>
      </c>
      <c r="F23" s="16" t="inlineStr">
        <is>
          <t>包</t>
        </is>
      </c>
      <c r="G23" s="13" t="n">
        <v>4</v>
      </c>
      <c r="H23" s="17" t="n">
        <v>27.846</v>
      </c>
      <c r="I23" s="13" t="n">
        <v>111.384</v>
      </c>
      <c r="J23" s="42" t="n"/>
      <c r="K23" s="42" t="n"/>
      <c r="L23" s="117" t="n"/>
      <c r="M23" s="82" t="n"/>
      <c r="N23" s="82" t="n"/>
      <c r="O23" s="113" t="n"/>
      <c r="P23" s="84" t="n">
        <v>2</v>
      </c>
      <c r="Q23" s="84" t="n">
        <v>27.846</v>
      </c>
      <c r="R23" s="114" t="n">
        <v>55.69</v>
      </c>
      <c r="S23" s="18">
        <f>J23+M23+P23</f>
        <v/>
      </c>
      <c r="T23" s="115" t="n">
        <v>27.846</v>
      </c>
      <c r="U23" s="116">
        <f>L23+O23+R23</f>
        <v/>
      </c>
      <c r="V23" s="86">
        <f>G23+S23</f>
        <v/>
      </c>
      <c r="W23" s="115">
        <f>X23/V23</f>
        <v/>
      </c>
      <c r="X23" s="87">
        <f>I23+U23</f>
        <v/>
      </c>
    </row>
    <row r="24" ht="14.25" customHeight="1" s="3">
      <c r="A24" s="6" t="n">
        <v>22</v>
      </c>
      <c r="B24" s="80" t="inlineStr">
        <is>
          <t>010085</t>
        </is>
      </c>
      <c r="C24" s="15" t="inlineStr">
        <is>
          <t>食品类</t>
        </is>
      </c>
      <c r="D24" s="16" t="inlineStr">
        <is>
          <t>风味肉酱调味料</t>
        </is>
      </c>
      <c r="E24" s="16" t="inlineStr">
        <is>
          <t>1kg*16包/件</t>
        </is>
      </c>
      <c r="F24" s="16" t="inlineStr">
        <is>
          <t>件[1件=16包]</t>
        </is>
      </c>
      <c r="G24" s="13" t="n">
        <v>0.625</v>
      </c>
      <c r="H24" s="17" t="n">
        <v>646.8</v>
      </c>
      <c r="I24" s="13" t="n">
        <v>404.25</v>
      </c>
      <c r="J24" s="42" t="n">
        <v>0.3125</v>
      </c>
      <c r="K24" s="42" t="n">
        <v>40.425</v>
      </c>
      <c r="L24" s="117" t="n">
        <v>202.13</v>
      </c>
      <c r="M24" s="82" t="n">
        <v>1</v>
      </c>
      <c r="N24" s="82" t="n">
        <v>646.8</v>
      </c>
      <c r="O24" s="113" t="n">
        <v>646.8</v>
      </c>
      <c r="P24" s="84" t="n">
        <v>0.625</v>
      </c>
      <c r="Q24" s="84" t="n">
        <v>646.8</v>
      </c>
      <c r="R24" s="114" t="n">
        <v>404.25</v>
      </c>
      <c r="S24" s="18">
        <f>J24+M24+P24</f>
        <v/>
      </c>
      <c r="T24" s="115" t="n">
        <v>646.8</v>
      </c>
      <c r="U24" s="116">
        <f>L24+O24+R24</f>
        <v/>
      </c>
      <c r="V24" s="86">
        <f>G24+S24</f>
        <v/>
      </c>
      <c r="W24" s="115">
        <f>X24/V24</f>
        <v/>
      </c>
      <c r="X24" s="87">
        <f>I24+U24</f>
        <v/>
      </c>
    </row>
    <row r="25" ht="14.25" customHeight="1" s="3">
      <c r="A25" s="6" t="n">
        <v>23</v>
      </c>
      <c r="B25" s="80" t="inlineStr">
        <is>
          <t>010098</t>
        </is>
      </c>
      <c r="C25" s="15" t="inlineStr">
        <is>
          <t>食品类</t>
        </is>
      </c>
      <c r="D25" s="16" t="inlineStr">
        <is>
          <t>猪血</t>
        </is>
      </c>
      <c r="E25" s="16" t="inlineStr">
        <is>
          <t>300g/盒*20盒/件</t>
        </is>
      </c>
      <c r="F25" s="16" t="inlineStr">
        <is>
          <t>件[1件=20盒]</t>
        </is>
      </c>
      <c r="G25" s="13" t="n">
        <v>0</v>
      </c>
      <c r="H25" s="17" t="n">
        <v>0</v>
      </c>
      <c r="I25" s="13" t="n">
        <v>0</v>
      </c>
      <c r="J25" s="42" t="n"/>
      <c r="K25" s="42" t="n"/>
      <c r="L25" s="117" t="n"/>
      <c r="M25" s="82" t="n"/>
      <c r="N25" s="82" t="n"/>
      <c r="O25" s="113" t="n"/>
      <c r="P25" s="84" t="n"/>
      <c r="Q25" s="84" t="n"/>
      <c r="R25" s="114" t="n"/>
      <c r="S25" s="18">
        <f>J25+M25+P25</f>
        <v/>
      </c>
      <c r="T25" s="115" t="n">
        <v>0</v>
      </c>
      <c r="U25" s="116">
        <f>L25+O25+R25</f>
        <v/>
      </c>
      <c r="V25" s="86">
        <f>G25+S25</f>
        <v/>
      </c>
      <c r="W25" s="115">
        <f>X25/V25</f>
        <v/>
      </c>
      <c r="X25" s="87">
        <f>I25+U25</f>
        <v/>
      </c>
    </row>
    <row r="26" ht="14.25" customHeight="1" s="3">
      <c r="A26" s="6" t="n">
        <v>24</v>
      </c>
      <c r="B26" s="80" t="inlineStr">
        <is>
          <t>010136</t>
        </is>
      </c>
      <c r="C26" s="15" t="inlineStr">
        <is>
          <t>食品类</t>
        </is>
      </c>
      <c r="D26" s="16" t="inlineStr">
        <is>
          <t>拌面酱油</t>
        </is>
      </c>
      <c r="E26" s="16" t="inlineStr">
        <is>
          <t>2kg/瓶*6瓶/件</t>
        </is>
      </c>
      <c r="F26" s="16" t="inlineStr">
        <is>
          <t>瓶</t>
        </is>
      </c>
      <c r="G26" s="13" t="n">
        <v>3</v>
      </c>
      <c r="H26" s="17" t="n">
        <v>80.53</v>
      </c>
      <c r="I26" s="13" t="n">
        <v>241.59</v>
      </c>
      <c r="J26" s="42" t="n"/>
      <c r="K26" s="42" t="n"/>
      <c r="L26" s="81" t="n"/>
      <c r="M26" s="82" t="n">
        <v>2</v>
      </c>
      <c r="N26" s="82" t="n">
        <v>80.53</v>
      </c>
      <c r="O26" s="113" t="n">
        <v>161.06</v>
      </c>
      <c r="P26" s="84" t="n"/>
      <c r="Q26" s="84" t="n"/>
      <c r="R26" s="114" t="n"/>
      <c r="S26" s="18">
        <f>J26+M26+P26</f>
        <v/>
      </c>
      <c r="T26" s="115" t="n">
        <v>80.53</v>
      </c>
      <c r="U26" s="116">
        <f>L26+O26+R26</f>
        <v/>
      </c>
      <c r="V26" s="86">
        <f>G26+S26</f>
        <v/>
      </c>
      <c r="W26" s="115">
        <f>X26/V26</f>
        <v/>
      </c>
      <c r="X26" s="87">
        <f>I26+U26</f>
        <v/>
      </c>
    </row>
    <row r="27" ht="14.25" customHeight="1" s="3">
      <c r="A27" s="6" t="n">
        <v>25</v>
      </c>
      <c r="B27" s="80" t="inlineStr">
        <is>
          <t>010146</t>
        </is>
      </c>
      <c r="C27" s="15" t="inlineStr">
        <is>
          <t>食品类</t>
        </is>
      </c>
      <c r="D27" s="16" t="inlineStr">
        <is>
          <t>聊撇小罐红豆</t>
        </is>
      </c>
      <c r="E27" s="16" t="inlineStr">
        <is>
          <t>500g*24罐/件</t>
        </is>
      </c>
      <c r="F27" s="16" t="inlineStr">
        <is>
          <t>瓶</t>
        </is>
      </c>
      <c r="G27" s="13" t="n">
        <v>5</v>
      </c>
      <c r="H27" s="17" t="n">
        <v>8.19</v>
      </c>
      <c r="I27" s="13" t="n">
        <v>40.95</v>
      </c>
      <c r="J27" s="42" t="n">
        <v>5</v>
      </c>
      <c r="K27" s="42" t="n">
        <v>8.19</v>
      </c>
      <c r="L27" s="117" t="n">
        <v>40.95</v>
      </c>
      <c r="M27" s="82" t="n">
        <v>5</v>
      </c>
      <c r="N27" s="82" t="n">
        <v>8.19</v>
      </c>
      <c r="O27" s="113" t="n">
        <v>40.95</v>
      </c>
      <c r="P27" s="84" t="n"/>
      <c r="Q27" s="84" t="n"/>
      <c r="R27" s="114" t="n"/>
      <c r="S27" s="18">
        <f>J27+M27+P27</f>
        <v/>
      </c>
      <c r="T27" s="115" t="n">
        <v>8.19</v>
      </c>
      <c r="U27" s="116">
        <f>L27+O27+R27</f>
        <v/>
      </c>
      <c r="V27" s="86">
        <f>G27+S27</f>
        <v/>
      </c>
      <c r="W27" s="115">
        <f>X27/V27</f>
        <v/>
      </c>
      <c r="X27" s="87">
        <f>I27+U27</f>
        <v/>
      </c>
    </row>
    <row r="28" ht="28.5" customHeight="1" s="3">
      <c r="A28" s="6" t="n">
        <v>26</v>
      </c>
      <c r="B28" s="80" t="inlineStr">
        <is>
          <t>010150</t>
        </is>
      </c>
      <c r="C28" s="15" t="inlineStr">
        <is>
          <t>食品类</t>
        </is>
      </c>
      <c r="D28" s="16" t="inlineStr">
        <is>
          <t>粉小主1号调料（原红酸汤）</t>
        </is>
      </c>
      <c r="E28" s="16" t="inlineStr">
        <is>
          <t>500g/包*24包/件</t>
        </is>
      </c>
      <c r="F28" s="16" t="inlineStr">
        <is>
          <t>件[1件=24包]</t>
        </is>
      </c>
      <c r="G28" s="13" t="n">
        <v>9</v>
      </c>
      <c r="H28" s="17" t="n">
        <v>378</v>
      </c>
      <c r="I28" s="13" t="n">
        <v>3402</v>
      </c>
      <c r="J28" s="42" t="n">
        <v>4</v>
      </c>
      <c r="K28" s="42" t="n">
        <v>378</v>
      </c>
      <c r="L28" s="81" t="n">
        <v>1512</v>
      </c>
      <c r="M28" s="82" t="n">
        <v>6</v>
      </c>
      <c r="N28" s="82" t="n">
        <v>378</v>
      </c>
      <c r="O28" s="113" t="n">
        <v>2268</v>
      </c>
      <c r="P28" s="84" t="n">
        <v>4</v>
      </c>
      <c r="Q28" s="84" t="n">
        <v>378</v>
      </c>
      <c r="R28" s="114" t="n">
        <v>1512</v>
      </c>
      <c r="S28" s="18">
        <f>J28+M28+P28</f>
        <v/>
      </c>
      <c r="T28" s="115" t="n">
        <v>378</v>
      </c>
      <c r="U28" s="116">
        <f>L28+O28+R28</f>
        <v/>
      </c>
      <c r="V28" s="86">
        <f>G28+S28</f>
        <v/>
      </c>
      <c r="W28" s="115">
        <f>X28/V28</f>
        <v/>
      </c>
      <c r="X28" s="87">
        <f>I28+U28</f>
        <v/>
      </c>
    </row>
    <row r="29" ht="28.5" customHeight="1" s="3">
      <c r="A29" s="6" t="n">
        <v>27</v>
      </c>
      <c r="B29" s="80" t="inlineStr">
        <is>
          <t>010151</t>
        </is>
      </c>
      <c r="C29" s="15" t="inlineStr">
        <is>
          <t>食品类</t>
        </is>
      </c>
      <c r="D29" s="16" t="inlineStr">
        <is>
          <t>粉小主2号调味料（酸辣豆汤）</t>
        </is>
      </c>
      <c r="E29" s="16" t="inlineStr">
        <is>
          <t>500g/包*24包/件</t>
        </is>
      </c>
      <c r="F29" s="16" t="inlineStr">
        <is>
          <t>件[1件=24包]</t>
        </is>
      </c>
      <c r="G29" s="13" t="n">
        <v>5</v>
      </c>
      <c r="H29" s="17" t="n">
        <v>352.8</v>
      </c>
      <c r="I29" s="13" t="n">
        <v>1764</v>
      </c>
      <c r="J29" s="42" t="n">
        <v>2</v>
      </c>
      <c r="K29" s="42" t="n">
        <v>352.8</v>
      </c>
      <c r="L29" s="81" t="n">
        <v>705.6</v>
      </c>
      <c r="M29" s="82" t="n">
        <v>2</v>
      </c>
      <c r="N29" s="82" t="n">
        <v>352.8</v>
      </c>
      <c r="O29" s="113" t="n">
        <v>705.6</v>
      </c>
      <c r="P29" s="84" t="n">
        <v>2</v>
      </c>
      <c r="Q29" s="84" t="n">
        <v>352.8</v>
      </c>
      <c r="R29" s="114" t="n">
        <v>705.6</v>
      </c>
      <c r="S29" s="18">
        <f>J29+M29+P29</f>
        <v/>
      </c>
      <c r="T29" s="115" t="n">
        <v>352.8</v>
      </c>
      <c r="U29" s="116">
        <f>L29+O29+R29</f>
        <v/>
      </c>
      <c r="V29" s="86">
        <f>G29+S29</f>
        <v/>
      </c>
      <c r="W29" s="115">
        <f>X29/V29</f>
        <v/>
      </c>
      <c r="X29" s="87">
        <f>I29+U29</f>
        <v/>
      </c>
    </row>
    <row r="30" ht="14.25" customHeight="1" s="3">
      <c r="A30" s="6" t="n">
        <v>28</v>
      </c>
      <c r="B30" s="80" t="inlineStr">
        <is>
          <t>010154</t>
        </is>
      </c>
      <c r="C30" s="15" t="inlineStr">
        <is>
          <t>食品类</t>
        </is>
      </c>
      <c r="D30" s="16" t="inlineStr">
        <is>
          <t>孜然粒</t>
        </is>
      </c>
      <c r="E30" s="16" t="inlineStr">
        <is>
          <t>500g/包*20包/件</t>
        </is>
      </c>
      <c r="F30" s="16" t="inlineStr">
        <is>
          <t>包</t>
        </is>
      </c>
      <c r="G30" s="13" t="n">
        <v>0.5</v>
      </c>
      <c r="H30" s="17" t="n">
        <v>29.4</v>
      </c>
      <c r="I30" s="13" t="n">
        <v>14.7</v>
      </c>
      <c r="J30" s="42" t="n"/>
      <c r="K30" s="42" t="n"/>
      <c r="L30" s="117" t="n"/>
      <c r="M30" s="82" t="n"/>
      <c r="N30" s="82" t="n"/>
      <c r="O30" s="113" t="n"/>
      <c r="P30" s="84" t="n"/>
      <c r="Q30" s="84" t="n"/>
      <c r="R30" s="114" t="n"/>
      <c r="S30" s="18">
        <f>J30+M30+P30</f>
        <v/>
      </c>
      <c r="T30" s="115" t="n">
        <v>29.4</v>
      </c>
      <c r="U30" s="116">
        <f>L30+O30+R30</f>
        <v/>
      </c>
      <c r="V30" s="86">
        <f>G30+S30</f>
        <v/>
      </c>
      <c r="W30" s="115">
        <f>X30/V30</f>
        <v/>
      </c>
      <c r="X30" s="87">
        <f>I30+U30</f>
        <v/>
      </c>
    </row>
    <row r="31" ht="14.25" customHeight="1" s="3">
      <c r="A31" s="6" t="n">
        <v>29</v>
      </c>
      <c r="B31" s="80" t="inlineStr">
        <is>
          <t>010157</t>
        </is>
      </c>
      <c r="C31" s="15" t="inlineStr">
        <is>
          <t>食品类</t>
        </is>
      </c>
      <c r="D31" s="14" t="inlineStr">
        <is>
          <t>辣椒粉（烈火牛肉专用）</t>
        </is>
      </c>
      <c r="E31" s="16" t="inlineStr">
        <is>
          <t>500g/包*20包/件</t>
        </is>
      </c>
      <c r="F31" s="16" t="inlineStr">
        <is>
          <t>包</t>
        </is>
      </c>
      <c r="G31" s="13" t="n">
        <v>1</v>
      </c>
      <c r="H31" s="17" t="n">
        <v>26.25</v>
      </c>
      <c r="I31" s="13" t="n">
        <v>26.25</v>
      </c>
      <c r="J31" s="42" t="n"/>
      <c r="K31" s="42" t="n"/>
      <c r="L31" s="117" t="n"/>
      <c r="M31" s="82" t="n">
        <v>2</v>
      </c>
      <c r="N31" s="82" t="n">
        <v>26.25</v>
      </c>
      <c r="O31" s="113" t="n">
        <v>52.5</v>
      </c>
      <c r="P31" s="84" t="n"/>
      <c r="Q31" s="84" t="n"/>
      <c r="R31" s="114" t="n"/>
      <c r="S31" s="18">
        <f>J31+M31+P31</f>
        <v/>
      </c>
      <c r="T31" s="115" t="n">
        <v>26.25</v>
      </c>
      <c r="U31" s="116">
        <f>L31+O31+R31</f>
        <v/>
      </c>
      <c r="V31" s="86">
        <f>G31+S31</f>
        <v/>
      </c>
      <c r="W31" s="115">
        <f>X31/V31</f>
        <v/>
      </c>
      <c r="X31" s="87">
        <f>I31+U31</f>
        <v/>
      </c>
    </row>
    <row r="32" ht="28.5" customHeight="1" s="3">
      <c r="A32" s="6" t="n">
        <v>30</v>
      </c>
      <c r="B32" s="80" t="inlineStr">
        <is>
          <t>010159</t>
        </is>
      </c>
      <c r="C32" s="15" t="inlineStr">
        <is>
          <t>食品类</t>
        </is>
      </c>
      <c r="D32" s="16" t="inlineStr">
        <is>
          <t>土豆片</t>
        </is>
      </c>
      <c r="E32" s="16" t="inlineStr">
        <is>
          <t>500g/包*20包/件+两包撒粉</t>
        </is>
      </c>
      <c r="F32" s="16" t="inlineStr">
        <is>
          <t>件[1件=20包]</t>
        </is>
      </c>
      <c r="G32" s="13" t="n">
        <v>1.3</v>
      </c>
      <c r="H32" s="17" t="n">
        <v>141.75</v>
      </c>
      <c r="I32" s="13" t="n">
        <v>184.275</v>
      </c>
      <c r="J32" s="42" t="n">
        <v>3</v>
      </c>
      <c r="K32" s="42" t="n">
        <v>141.75</v>
      </c>
      <c r="L32" s="81" t="n">
        <v>425.25</v>
      </c>
      <c r="M32" s="82" t="n">
        <v>2</v>
      </c>
      <c r="N32" s="82" t="n">
        <v>141.75</v>
      </c>
      <c r="O32" s="113" t="n">
        <v>283.5</v>
      </c>
      <c r="P32" s="84" t="n">
        <v>2</v>
      </c>
      <c r="Q32" s="84" t="n">
        <v>141.75</v>
      </c>
      <c r="R32" s="114" t="n">
        <v>283.5</v>
      </c>
      <c r="S32" s="18">
        <f>J32+M32+P32</f>
        <v/>
      </c>
      <c r="T32" s="115" t="n">
        <v>141.75</v>
      </c>
      <c r="U32" s="116">
        <f>L32+O32+R32</f>
        <v/>
      </c>
      <c r="V32" s="86">
        <f>G32+S32</f>
        <v/>
      </c>
      <c r="W32" s="115">
        <f>X32/V32</f>
        <v/>
      </c>
      <c r="X32" s="87">
        <f>I32+U32</f>
        <v/>
      </c>
    </row>
    <row r="33" ht="14.25" customHeight="1" s="3">
      <c r="A33" s="6" t="n">
        <v>31</v>
      </c>
      <c r="B33" s="80" t="inlineStr">
        <is>
          <t>010173</t>
        </is>
      </c>
      <c r="C33" s="15" t="inlineStr">
        <is>
          <t>食品类</t>
        </is>
      </c>
      <c r="D33" s="16" t="inlineStr">
        <is>
          <t>抹茶豆花粉</t>
        </is>
      </c>
      <c r="E33" s="16" t="inlineStr">
        <is>
          <t>700g/包*20包/件</t>
        </is>
      </c>
      <c r="F33" s="16" t="inlineStr">
        <is>
          <t>包</t>
        </is>
      </c>
      <c r="G33" s="13" t="n">
        <v>5</v>
      </c>
      <c r="H33" s="17" t="n">
        <v>29.93</v>
      </c>
      <c r="I33" s="13" t="n">
        <v>149.65</v>
      </c>
      <c r="J33" s="42" t="n"/>
      <c r="K33" s="42" t="n"/>
      <c r="L33" s="117" t="n"/>
      <c r="M33" s="82" t="n">
        <v>6</v>
      </c>
      <c r="N33" s="82" t="n">
        <v>29.93</v>
      </c>
      <c r="O33" s="113" t="n">
        <v>179.58</v>
      </c>
      <c r="P33" s="84" t="n">
        <v>4</v>
      </c>
      <c r="Q33" s="84" t="n">
        <v>29.93</v>
      </c>
      <c r="R33" s="114" t="n">
        <v>119.72</v>
      </c>
      <c r="S33" s="18">
        <f>J33+M33+P33</f>
        <v/>
      </c>
      <c r="T33" s="115" t="n">
        <v>29.93</v>
      </c>
      <c r="U33" s="116">
        <f>L33+O33+R33</f>
        <v/>
      </c>
      <c r="V33" s="86">
        <f>G33+S33</f>
        <v/>
      </c>
      <c r="W33" s="115">
        <f>X33/V33</f>
        <v/>
      </c>
      <c r="X33" s="87">
        <f>I33+U33</f>
        <v/>
      </c>
    </row>
    <row r="34" ht="14.25" customHeight="1" s="3">
      <c r="A34" s="6" t="n">
        <v>32</v>
      </c>
      <c r="B34" s="80" t="inlineStr">
        <is>
          <t>010177</t>
        </is>
      </c>
      <c r="C34" s="15" t="inlineStr">
        <is>
          <t>食品类</t>
        </is>
      </c>
      <c r="D34" s="16" t="inlineStr">
        <is>
          <t>黄金椰片</t>
        </is>
      </c>
      <c r="E34" s="16" t="inlineStr">
        <is>
          <t>500g/包*20包/件</t>
        </is>
      </c>
      <c r="F34" s="16" t="inlineStr">
        <is>
          <t>包</t>
        </is>
      </c>
      <c r="G34" s="13" t="n">
        <v>1</v>
      </c>
      <c r="H34" s="17" t="n">
        <v>29.4</v>
      </c>
      <c r="I34" s="13" t="n">
        <v>29.4</v>
      </c>
      <c r="J34" s="42" t="n"/>
      <c r="K34" s="42" t="n"/>
      <c r="L34" s="117" t="n"/>
      <c r="M34" s="82" t="n">
        <v>2</v>
      </c>
      <c r="N34" s="82" t="n">
        <v>29.4</v>
      </c>
      <c r="O34" s="113" t="n">
        <v>58.8</v>
      </c>
      <c r="P34" s="84" t="n"/>
      <c r="Q34" s="84" t="n"/>
      <c r="R34" s="114" t="n"/>
      <c r="S34" s="18">
        <f>J34+M34+P34</f>
        <v/>
      </c>
      <c r="T34" s="115" t="n">
        <v>29.4</v>
      </c>
      <c r="U34" s="116">
        <f>L34+O34+R34</f>
        <v/>
      </c>
      <c r="V34" s="86">
        <f>G34+S34</f>
        <v/>
      </c>
      <c r="W34" s="115">
        <f>X34/V34</f>
        <v/>
      </c>
      <c r="X34" s="87">
        <f>I34+U34</f>
        <v/>
      </c>
    </row>
    <row r="35" ht="14.25" customHeight="1" s="3">
      <c r="A35" s="6" t="n">
        <v>33</v>
      </c>
      <c r="B35" s="80" t="inlineStr">
        <is>
          <t>010178</t>
        </is>
      </c>
      <c r="C35" s="15" t="inlineStr">
        <is>
          <t>食品类</t>
        </is>
      </c>
      <c r="D35" s="16" t="inlineStr">
        <is>
          <t>青提果溶</t>
        </is>
      </c>
      <c r="E35" s="16" t="inlineStr">
        <is>
          <t>1.2KG/瓶12瓶/件</t>
        </is>
      </c>
      <c r="F35" s="16" t="inlineStr">
        <is>
          <t>瓶</t>
        </is>
      </c>
      <c r="G35" s="13" t="n">
        <v>13</v>
      </c>
      <c r="H35" s="17" t="n">
        <v>29.4</v>
      </c>
      <c r="I35" s="13" t="n">
        <v>382.2</v>
      </c>
      <c r="J35" s="42" t="n">
        <v>12</v>
      </c>
      <c r="K35" s="42" t="n">
        <v>29.4</v>
      </c>
      <c r="L35" s="117" t="n">
        <v>352.8</v>
      </c>
      <c r="M35" s="82" t="n">
        <v>12</v>
      </c>
      <c r="N35" s="82" t="n">
        <v>29.4</v>
      </c>
      <c r="O35" s="113" t="n">
        <v>352.8</v>
      </c>
      <c r="P35" s="84" t="n"/>
      <c r="Q35" s="84" t="n"/>
      <c r="R35" s="114" t="n"/>
      <c r="S35" s="18">
        <f>J35+M35+P35</f>
        <v/>
      </c>
      <c r="T35" s="115" t="n">
        <v>29.4</v>
      </c>
      <c r="U35" s="116">
        <f>L35+O35+R35</f>
        <v/>
      </c>
      <c r="V35" s="86">
        <f>G35+S35</f>
        <v/>
      </c>
      <c r="W35" s="115">
        <f>X35/V35</f>
        <v/>
      </c>
      <c r="X35" s="87">
        <f>I35+U35</f>
        <v/>
      </c>
    </row>
    <row r="36" ht="14.25" customHeight="1" s="3">
      <c r="A36" s="6" t="n">
        <v>34</v>
      </c>
      <c r="B36" s="80" t="inlineStr">
        <is>
          <t>010179</t>
        </is>
      </c>
      <c r="C36" s="15" t="inlineStr">
        <is>
          <t>食品类</t>
        </is>
      </c>
      <c r="D36" s="16" t="inlineStr">
        <is>
          <t>椰号-厚椰乳</t>
        </is>
      </c>
      <c r="E36" s="16" t="inlineStr">
        <is>
          <t>1000g/瓶*12瓶/件</t>
        </is>
      </c>
      <c r="F36" s="16" t="inlineStr">
        <is>
          <t>瓶</t>
        </is>
      </c>
      <c r="G36" s="13" t="n">
        <v>8</v>
      </c>
      <c r="H36" s="17" t="n">
        <v>15.225</v>
      </c>
      <c r="I36" s="13" t="n">
        <v>121.8</v>
      </c>
      <c r="J36" s="42" t="n">
        <v>5</v>
      </c>
      <c r="K36" s="42" t="n">
        <v>15.225</v>
      </c>
      <c r="L36" s="117" t="n">
        <v>76.13</v>
      </c>
      <c r="M36" s="82" t="n"/>
      <c r="N36" s="82" t="n"/>
      <c r="O36" s="113" t="n"/>
      <c r="P36" s="84" t="n"/>
      <c r="Q36" s="84" t="n"/>
      <c r="R36" s="114" t="n"/>
      <c r="S36" s="18">
        <f>J36+M36+P36</f>
        <v/>
      </c>
      <c r="T36" s="115" t="n">
        <v>15.225</v>
      </c>
      <c r="U36" s="116">
        <f>L36+O36+R36</f>
        <v/>
      </c>
      <c r="V36" s="86">
        <f>G36+S36</f>
        <v/>
      </c>
      <c r="W36" s="115">
        <f>X36/V36</f>
        <v/>
      </c>
      <c r="X36" s="87">
        <f>I36+U36</f>
        <v/>
      </c>
    </row>
    <row r="37" ht="14.25" customHeight="1" s="3">
      <c r="A37" s="6" t="n">
        <v>35</v>
      </c>
      <c r="B37" s="80" t="inlineStr">
        <is>
          <t>010181</t>
        </is>
      </c>
      <c r="C37" s="15" t="inlineStr">
        <is>
          <t>食品类</t>
        </is>
      </c>
      <c r="D37" s="16" t="inlineStr">
        <is>
          <t>新品萝卜丁</t>
        </is>
      </c>
      <c r="E37" s="16" t="inlineStr">
        <is>
          <t>500g/包*20包/件</t>
        </is>
      </c>
      <c r="F37" s="16" t="inlineStr">
        <is>
          <t>件[1件=20包]</t>
        </is>
      </c>
      <c r="G37" s="13" t="n">
        <v>2</v>
      </c>
      <c r="H37" s="17" t="n">
        <v>178.5</v>
      </c>
      <c r="I37" s="13" t="n">
        <v>357</v>
      </c>
      <c r="J37" s="42" t="n"/>
      <c r="K37" s="42" t="n"/>
      <c r="L37" s="117" t="n"/>
      <c r="M37" s="82" t="n"/>
      <c r="N37" s="82" t="n"/>
      <c r="O37" s="113" t="n"/>
      <c r="P37" s="84" t="n"/>
      <c r="Q37" s="84" t="n"/>
      <c r="R37" s="114" t="n"/>
      <c r="S37" s="18">
        <f>J37+M37+P37</f>
        <v/>
      </c>
      <c r="T37" s="115" t="n">
        <v>178.5</v>
      </c>
      <c r="U37" s="116">
        <f>L37+O37+R37</f>
        <v/>
      </c>
      <c r="V37" s="86">
        <f>G37+S37</f>
        <v/>
      </c>
      <c r="W37" s="115">
        <f>X37/V37</f>
        <v/>
      </c>
      <c r="X37" s="87">
        <f>I37+U37</f>
        <v/>
      </c>
    </row>
    <row r="38" ht="14.25" customHeight="1" s="3">
      <c r="A38" s="6" t="n">
        <v>36</v>
      </c>
      <c r="B38" s="80" t="inlineStr">
        <is>
          <t>010183</t>
        </is>
      </c>
      <c r="C38" s="15" t="inlineStr">
        <is>
          <t>食品类</t>
        </is>
      </c>
      <c r="D38" s="16" t="inlineStr">
        <is>
          <t>泡椒酱</t>
        </is>
      </c>
      <c r="E38" s="16" t="inlineStr">
        <is>
          <t>1kg/包*10包/件</t>
        </is>
      </c>
      <c r="F38" s="16" t="inlineStr">
        <is>
          <t>包</t>
        </is>
      </c>
      <c r="G38" s="13" t="n">
        <v>7</v>
      </c>
      <c r="H38" s="17" t="n">
        <v>40.95</v>
      </c>
      <c r="I38" s="13" t="n">
        <v>286.65</v>
      </c>
      <c r="J38" s="42" t="n">
        <v>10</v>
      </c>
      <c r="K38" s="42" t="n">
        <v>40.95</v>
      </c>
      <c r="L38" s="117" t="n">
        <v>409.5</v>
      </c>
      <c r="M38" s="82" t="n">
        <v>10</v>
      </c>
      <c r="N38" s="82" t="n">
        <v>40.95</v>
      </c>
      <c r="O38" s="113" t="n">
        <v>409.5</v>
      </c>
      <c r="P38" s="84" t="n"/>
      <c r="Q38" s="84" t="n"/>
      <c r="R38" s="114" t="n"/>
      <c r="S38" s="18">
        <f>J38+M38+P38</f>
        <v/>
      </c>
      <c r="T38" s="115" t="n">
        <v>40.95</v>
      </c>
      <c r="U38" s="116">
        <f>L38+O38+R38</f>
        <v/>
      </c>
      <c r="V38" s="86">
        <f>G38+S38</f>
        <v/>
      </c>
      <c r="W38" s="115">
        <f>X38/V38</f>
        <v/>
      </c>
      <c r="X38" s="87">
        <f>I38+U38</f>
        <v/>
      </c>
    </row>
    <row r="39" ht="14.25" customHeight="1" s="3">
      <c r="A39" s="6" t="n">
        <v>37</v>
      </c>
      <c r="B39" s="80" t="inlineStr">
        <is>
          <t>010184</t>
        </is>
      </c>
      <c r="C39" s="15" t="inlineStr">
        <is>
          <t>食品类</t>
        </is>
      </c>
      <c r="D39" s="16" t="inlineStr">
        <is>
          <t>香辣酱</t>
        </is>
      </c>
      <c r="E39" s="16" t="inlineStr">
        <is>
          <t>1kg/包*10包/件</t>
        </is>
      </c>
      <c r="F39" s="16" t="inlineStr">
        <is>
          <t>包</t>
        </is>
      </c>
      <c r="G39" s="13" t="n">
        <v>20</v>
      </c>
      <c r="H39" s="17" t="n">
        <v>40.95</v>
      </c>
      <c r="I39" s="13" t="n">
        <v>819</v>
      </c>
      <c r="J39" s="42" t="n"/>
      <c r="K39" s="42" t="n"/>
      <c r="L39" s="81" t="n"/>
      <c r="M39" s="82" t="n"/>
      <c r="N39" s="82" t="n"/>
      <c r="O39" s="113" t="n"/>
      <c r="P39" s="84" t="n">
        <v>10</v>
      </c>
      <c r="Q39" s="84" t="n">
        <v>40.95</v>
      </c>
      <c r="R39" s="114" t="n">
        <v>409.5</v>
      </c>
      <c r="S39" s="18">
        <f>J39+M39+P39</f>
        <v/>
      </c>
      <c r="T39" s="115" t="n">
        <v>40.95</v>
      </c>
      <c r="U39" s="116">
        <f>L39+O39+R39</f>
        <v/>
      </c>
      <c r="V39" s="86">
        <f>G39+S39</f>
        <v/>
      </c>
      <c r="W39" s="115">
        <f>X39/V39</f>
        <v/>
      </c>
      <c r="X39" s="87">
        <f>I39+U39</f>
        <v/>
      </c>
    </row>
    <row r="40" ht="14.25" customHeight="1" s="3">
      <c r="A40" s="6" t="n">
        <v>38</v>
      </c>
      <c r="B40" s="80" t="inlineStr">
        <is>
          <t>010187</t>
        </is>
      </c>
      <c r="C40" s="15" t="inlineStr">
        <is>
          <t>食品类</t>
        </is>
      </c>
      <c r="D40" s="16" t="inlineStr">
        <is>
          <t>秘制香料包</t>
        </is>
      </c>
      <c r="E40" s="16" t="inlineStr">
        <is>
          <t>1kg/包*10包/件</t>
        </is>
      </c>
      <c r="F40" s="16" t="inlineStr">
        <is>
          <t>包</t>
        </is>
      </c>
      <c r="G40" s="13" t="n">
        <v>7</v>
      </c>
      <c r="H40" s="17" t="n">
        <v>189</v>
      </c>
      <c r="I40" s="13" t="n">
        <v>1323</v>
      </c>
      <c r="J40" s="42" t="n"/>
      <c r="K40" s="42" t="n"/>
      <c r="L40" s="117" t="n"/>
      <c r="M40" s="82" t="n">
        <v>4</v>
      </c>
      <c r="N40" s="82" t="n">
        <v>189</v>
      </c>
      <c r="O40" s="113" t="n">
        <v>756</v>
      </c>
      <c r="P40" s="84" t="n"/>
      <c r="Q40" s="84" t="n"/>
      <c r="R40" s="114" t="n"/>
      <c r="S40" s="18">
        <f>J40+M40+P40</f>
        <v/>
      </c>
      <c r="T40" s="115" t="n">
        <v>189</v>
      </c>
      <c r="U40" s="116">
        <f>L40+O40+R40</f>
        <v/>
      </c>
      <c r="V40" s="86">
        <f>G40+S40</f>
        <v/>
      </c>
      <c r="W40" s="115">
        <f>X40/V40</f>
        <v/>
      </c>
      <c r="X40" s="87">
        <f>I40+U40</f>
        <v/>
      </c>
    </row>
    <row r="41" ht="14.25" customHeight="1" s="3">
      <c r="A41" s="6" t="n">
        <v>39</v>
      </c>
      <c r="B41" s="80" t="inlineStr">
        <is>
          <t>010202</t>
        </is>
      </c>
      <c r="C41" s="15" t="inlineStr">
        <is>
          <t>食品类</t>
        </is>
      </c>
      <c r="D41" s="16" t="inlineStr">
        <is>
          <t>鲜香王1号</t>
        </is>
      </c>
      <c r="E41" s="16" t="inlineStr">
        <is>
          <t>500g/包*10包/件</t>
        </is>
      </c>
      <c r="F41" s="16" t="inlineStr">
        <is>
          <t>包</t>
        </is>
      </c>
      <c r="G41" s="13" t="n">
        <v>0</v>
      </c>
      <c r="H41" s="17" t="n">
        <v>40.95</v>
      </c>
      <c r="I41" s="13" t="n">
        <v>0</v>
      </c>
      <c r="J41" s="42" t="n"/>
      <c r="K41" s="42" t="n"/>
      <c r="L41" s="117" t="n"/>
      <c r="M41" s="82" t="n"/>
      <c r="N41" s="82" t="n"/>
      <c r="O41" s="113" t="n"/>
      <c r="P41" s="84" t="n"/>
      <c r="Q41" s="84" t="n"/>
      <c r="R41" s="114" t="n"/>
      <c r="S41" s="18">
        <f>J41+M41+P41</f>
        <v/>
      </c>
      <c r="T41" s="115" t="n">
        <v>40.95</v>
      </c>
      <c r="U41" s="116">
        <f>L41+O41+R41</f>
        <v/>
      </c>
      <c r="V41" s="86">
        <f>G41+S41</f>
        <v/>
      </c>
      <c r="W41" s="115">
        <f>X41/V41</f>
        <v/>
      </c>
      <c r="X41" s="87">
        <f>I41+U41</f>
        <v/>
      </c>
    </row>
    <row r="42" ht="14.25" customHeight="1" s="3">
      <c r="A42" s="6" t="n">
        <v>40</v>
      </c>
      <c r="B42" s="80" t="inlineStr">
        <is>
          <t>010203</t>
        </is>
      </c>
      <c r="C42" s="15" t="inlineStr">
        <is>
          <t>食品类</t>
        </is>
      </c>
      <c r="D42" s="16" t="inlineStr">
        <is>
          <t>呈鲜厚味素</t>
        </is>
      </c>
      <c r="E42" s="16" t="inlineStr">
        <is>
          <t>1kg/包*10包/件</t>
        </is>
      </c>
      <c r="F42" s="16" t="inlineStr">
        <is>
          <t>包</t>
        </is>
      </c>
      <c r="G42" s="13" t="n">
        <v>0</v>
      </c>
      <c r="H42" s="17" t="n">
        <v>57.75</v>
      </c>
      <c r="I42" s="13" t="n">
        <v>0</v>
      </c>
      <c r="J42" s="42" t="n"/>
      <c r="K42" s="42" t="n"/>
      <c r="L42" s="117" t="n"/>
      <c r="M42" s="82" t="n"/>
      <c r="N42" s="82" t="n"/>
      <c r="O42" s="113" t="n"/>
      <c r="P42" s="84" t="n"/>
      <c r="Q42" s="84" t="n"/>
      <c r="R42" s="114" t="n"/>
      <c r="S42" s="18">
        <f>J42+M42+P42</f>
        <v/>
      </c>
      <c r="T42" s="115" t="n">
        <v>57.75</v>
      </c>
      <c r="U42" s="116">
        <f>L42+O42+R42</f>
        <v/>
      </c>
      <c r="V42" s="86">
        <f>G42+S42</f>
        <v/>
      </c>
      <c r="W42" s="115">
        <f>X42/V42</f>
        <v/>
      </c>
      <c r="X42" s="87">
        <f>I42+U42</f>
        <v/>
      </c>
    </row>
    <row r="43" ht="14.25" customHeight="1" s="3">
      <c r="A43" s="6" t="n">
        <v>41</v>
      </c>
      <c r="B43" s="80" t="inlineStr">
        <is>
          <t>010204</t>
        </is>
      </c>
      <c r="C43" s="15" t="inlineStr">
        <is>
          <t>食品类</t>
        </is>
      </c>
      <c r="D43" s="16" t="inlineStr">
        <is>
          <t>鸡肉香粉</t>
        </is>
      </c>
      <c r="E43" s="16" t="inlineStr">
        <is>
          <t>1kg/包*20包/件</t>
        </is>
      </c>
      <c r="F43" s="16" t="inlineStr">
        <is>
          <t>包</t>
        </is>
      </c>
      <c r="G43" s="13" t="n">
        <v>0</v>
      </c>
      <c r="H43" s="17" t="n">
        <v>30.45</v>
      </c>
      <c r="I43" s="13" t="n">
        <v>0</v>
      </c>
      <c r="J43" s="42" t="n"/>
      <c r="K43" s="42" t="n"/>
      <c r="L43" s="117" t="n"/>
      <c r="M43" s="82" t="n"/>
      <c r="N43" s="82" t="n"/>
      <c r="O43" s="113" t="n"/>
      <c r="P43" s="84" t="n"/>
      <c r="Q43" s="84" t="n"/>
      <c r="R43" s="114" t="n"/>
      <c r="S43" s="18">
        <f>J43+M43+P43</f>
        <v/>
      </c>
      <c r="T43" s="115" t="n">
        <v>30.45</v>
      </c>
      <c r="U43" s="116">
        <f>L43+O43+R43</f>
        <v/>
      </c>
      <c r="V43" s="86">
        <f>G43+S43</f>
        <v/>
      </c>
      <c r="W43" s="115">
        <f>X43/V43</f>
        <v/>
      </c>
      <c r="X43" s="87">
        <f>I43+U43</f>
        <v/>
      </c>
    </row>
    <row r="44" ht="14.25" customHeight="1" s="3">
      <c r="A44" s="6" t="n">
        <v>42</v>
      </c>
      <c r="B44" s="80" t="inlineStr">
        <is>
          <t>010205</t>
        </is>
      </c>
      <c r="C44" s="15" t="inlineStr">
        <is>
          <t>食品类</t>
        </is>
      </c>
      <c r="D44" s="16" t="inlineStr">
        <is>
          <t>贵州皱皮辣椒</t>
        </is>
      </c>
      <c r="E44" s="16" t="inlineStr">
        <is>
          <t>2.5kg/包*4包/件</t>
        </is>
      </c>
      <c r="F44" s="16" t="inlineStr">
        <is>
          <t>包</t>
        </is>
      </c>
      <c r="G44" s="13" t="n">
        <v>0</v>
      </c>
      <c r="H44" s="17" t="n">
        <v>0</v>
      </c>
      <c r="I44" s="13" t="n">
        <v>0</v>
      </c>
      <c r="J44" s="42" t="n"/>
      <c r="K44" s="42" t="n"/>
      <c r="L44" s="117" t="n"/>
      <c r="M44" s="82" t="n"/>
      <c r="N44" s="82" t="n"/>
      <c r="O44" s="113" t="n"/>
      <c r="P44" s="84" t="n"/>
      <c r="Q44" s="84" t="n"/>
      <c r="R44" s="114" t="n"/>
      <c r="S44" s="18">
        <f>J44+M44+P44</f>
        <v/>
      </c>
      <c r="T44" s="115" t="n">
        <v>0</v>
      </c>
      <c r="U44" s="116">
        <f>L44+O44+R44</f>
        <v/>
      </c>
      <c r="V44" s="86">
        <f>G44+S44</f>
        <v/>
      </c>
      <c r="W44" s="115">
        <f>X44/V44</f>
        <v/>
      </c>
      <c r="X44" s="87">
        <f>I44+U44</f>
        <v/>
      </c>
    </row>
    <row r="45" ht="14.25" customHeight="1" s="3">
      <c r="A45" s="6" t="n">
        <v>43</v>
      </c>
      <c r="B45" s="80" t="inlineStr">
        <is>
          <t>010208</t>
        </is>
      </c>
      <c r="C45" s="15" t="inlineStr">
        <is>
          <t>食品类</t>
        </is>
      </c>
      <c r="D45" s="16" t="inlineStr">
        <is>
          <t>麻辣撒粉</t>
        </is>
      </c>
      <c r="E45" s="16" t="inlineStr">
        <is>
          <t>500/包g*20包/件</t>
        </is>
      </c>
      <c r="F45" s="16" t="inlineStr">
        <is>
          <t>包</t>
        </is>
      </c>
      <c r="G45" s="13" t="n">
        <v>2</v>
      </c>
      <c r="H45" s="17" t="n">
        <v>30.45</v>
      </c>
      <c r="I45" s="13" t="n">
        <v>60.9</v>
      </c>
      <c r="J45" s="42" t="n"/>
      <c r="K45" s="42" t="n"/>
      <c r="L45" s="117" t="n"/>
      <c r="M45" s="82" t="n">
        <v>2</v>
      </c>
      <c r="N45" s="82" t="n">
        <v>30.45</v>
      </c>
      <c r="O45" s="113" t="n">
        <v>60.9</v>
      </c>
      <c r="P45" s="84" t="n"/>
      <c r="Q45" s="84" t="n"/>
      <c r="R45" s="114" t="n"/>
      <c r="S45" s="18">
        <f>J45+M45+P45</f>
        <v/>
      </c>
      <c r="T45" s="115" t="n">
        <v>30.45</v>
      </c>
      <c r="U45" s="116">
        <f>L45+O45+R45</f>
        <v/>
      </c>
      <c r="V45" s="86">
        <f>G45+S45</f>
        <v/>
      </c>
      <c r="W45" s="115">
        <f>X45/V45</f>
        <v/>
      </c>
      <c r="X45" s="87">
        <f>I45+U45</f>
        <v/>
      </c>
    </row>
    <row r="46" ht="14.25" customHeight="1" s="3">
      <c r="A46" s="6" t="n">
        <v>44</v>
      </c>
      <c r="B46" s="80" t="inlineStr">
        <is>
          <t>010212</t>
        </is>
      </c>
      <c r="C46" s="15" t="inlineStr">
        <is>
          <t>食品类</t>
        </is>
      </c>
      <c r="D46" s="16" t="inlineStr">
        <is>
          <t>新品拌制豇豆粒（酸豆角）</t>
        </is>
      </c>
      <c r="E46" s="16" t="inlineStr">
        <is>
          <t>500克/包*20包/件</t>
        </is>
      </c>
      <c r="F46" s="16" t="inlineStr">
        <is>
          <t>件[1件=20包]</t>
        </is>
      </c>
      <c r="G46" s="13" t="n">
        <v>2.15</v>
      </c>
      <c r="H46" s="17" t="n">
        <v>162.75</v>
      </c>
      <c r="I46" s="13" t="n">
        <v>349.9125</v>
      </c>
      <c r="J46" s="42" t="n">
        <v>2</v>
      </c>
      <c r="K46" s="42" t="n">
        <v>162.75</v>
      </c>
      <c r="L46" s="117" t="n">
        <v>325.5</v>
      </c>
      <c r="M46" s="82" t="n">
        <v>2</v>
      </c>
      <c r="N46" s="82" t="n">
        <v>162.75</v>
      </c>
      <c r="O46" s="113" t="n">
        <v>325.5</v>
      </c>
      <c r="P46" s="84" t="n"/>
      <c r="Q46" s="84" t="n"/>
      <c r="R46" s="114" t="n"/>
      <c r="S46" s="18">
        <f>J46+M46+P46</f>
        <v/>
      </c>
      <c r="T46" s="115" t="n">
        <v>162.75</v>
      </c>
      <c r="U46" s="116">
        <f>L46+O46+R46</f>
        <v/>
      </c>
      <c r="V46" s="86">
        <f>G46+S46</f>
        <v/>
      </c>
      <c r="W46" s="115">
        <f>X46/V46</f>
        <v/>
      </c>
      <c r="X46" s="87">
        <f>I46+U46</f>
        <v/>
      </c>
    </row>
    <row r="47" ht="14.25" customHeight="1" s="3">
      <c r="A47" s="6" t="n">
        <v>45</v>
      </c>
      <c r="B47" s="103" t="inlineStr">
        <is>
          <t>010217</t>
        </is>
      </c>
      <c r="C47" s="15" t="inlineStr">
        <is>
          <t>食品类</t>
        </is>
      </c>
      <c r="D47" s="16" t="inlineStr">
        <is>
          <t>糊辣椒</t>
        </is>
      </c>
      <c r="E47" s="16" t="inlineStr">
        <is>
          <t>1.5kg/包*8包/件</t>
        </is>
      </c>
      <c r="F47" s="16" t="inlineStr">
        <is>
          <t>包</t>
        </is>
      </c>
      <c r="G47" s="13" t="n">
        <v>2</v>
      </c>
      <c r="H47" s="17" t="n">
        <v>59.22</v>
      </c>
      <c r="I47" s="13" t="n">
        <v>118.44</v>
      </c>
      <c r="J47" s="42" t="n"/>
      <c r="K47" s="42" t="n"/>
      <c r="L47" s="117" t="n"/>
      <c r="M47" s="82" t="n"/>
      <c r="N47" s="82" t="n"/>
      <c r="O47" s="113" t="n"/>
      <c r="P47" s="84" t="n"/>
      <c r="Q47" s="84" t="n"/>
      <c r="R47" s="114" t="n"/>
      <c r="S47" s="18">
        <f>J47+M47+P47</f>
        <v/>
      </c>
      <c r="T47" s="115" t="n">
        <v>59.22</v>
      </c>
      <c r="U47" s="116">
        <f>L47+O47+R47</f>
        <v/>
      </c>
      <c r="V47" s="86">
        <f>G47+S47</f>
        <v/>
      </c>
      <c r="W47" s="115">
        <f>X47/V47</f>
        <v/>
      </c>
      <c r="X47" s="87">
        <f>I47+U47</f>
        <v/>
      </c>
    </row>
    <row r="48" ht="14.25" customHeight="1" s="3">
      <c r="A48" s="6" t="n">
        <v>46</v>
      </c>
      <c r="B48" s="80" t="inlineStr">
        <is>
          <t>010218</t>
        </is>
      </c>
      <c r="C48" s="15" t="inlineStr">
        <is>
          <t>食品类</t>
        </is>
      </c>
      <c r="D48" s="16" t="inlineStr">
        <is>
          <t>油辣椒</t>
        </is>
      </c>
      <c r="E48" s="16" t="inlineStr">
        <is>
          <t>2.5kg/包*6包/件</t>
        </is>
      </c>
      <c r="F48" s="16" t="inlineStr">
        <is>
          <t>包</t>
        </is>
      </c>
      <c r="G48" s="13" t="n">
        <v>0</v>
      </c>
      <c r="H48" s="17" t="n">
        <v>0</v>
      </c>
      <c r="I48" s="13" t="n">
        <v>0</v>
      </c>
      <c r="J48" s="42" t="n"/>
      <c r="K48" s="42" t="n"/>
      <c r="L48" s="117" t="n"/>
      <c r="M48" s="82" t="n"/>
      <c r="N48" s="82" t="n"/>
      <c r="O48" s="113" t="n"/>
      <c r="P48" s="84" t="n"/>
      <c r="Q48" s="84" t="n"/>
      <c r="R48" s="114" t="n"/>
      <c r="S48" s="18">
        <f>J48+M48+P48</f>
        <v/>
      </c>
      <c r="T48" s="115" t="n">
        <v>0</v>
      </c>
      <c r="U48" s="116">
        <f>L48+O48+R48</f>
        <v/>
      </c>
      <c r="V48" s="86">
        <f>G48+S48</f>
        <v/>
      </c>
      <c r="W48" s="115">
        <f>X48/V48</f>
        <v/>
      </c>
      <c r="X48" s="87">
        <f>I48+U48</f>
        <v/>
      </c>
    </row>
    <row r="49" ht="14.25" customHeight="1" s="3">
      <c r="A49" s="6" t="n">
        <v>47</v>
      </c>
      <c r="B49" s="80" t="inlineStr">
        <is>
          <t>010222</t>
        </is>
      </c>
      <c r="C49" s="15" t="inlineStr">
        <is>
          <t>食品类</t>
        </is>
      </c>
      <c r="D49" s="16" t="inlineStr">
        <is>
          <t>白灼汁</t>
        </is>
      </c>
      <c r="E49" s="16" t="inlineStr">
        <is>
          <t>1.8L/瓶*6瓶/件</t>
        </is>
      </c>
      <c r="F49" s="16" t="inlineStr">
        <is>
          <t>瓶</t>
        </is>
      </c>
      <c r="G49" s="13" t="n">
        <v>0</v>
      </c>
      <c r="H49" s="17" t="n">
        <v>0</v>
      </c>
      <c r="I49" s="13" t="n">
        <v>0</v>
      </c>
      <c r="J49" s="42" t="n"/>
      <c r="K49" s="42" t="n"/>
      <c r="L49" s="117" t="n"/>
      <c r="M49" s="82" t="n"/>
      <c r="N49" s="82" t="n"/>
      <c r="O49" s="113" t="n"/>
      <c r="P49" s="84" t="n"/>
      <c r="Q49" s="84" t="n"/>
      <c r="R49" s="114" t="n"/>
      <c r="S49" s="18">
        <f>J49+M49+P49</f>
        <v/>
      </c>
      <c r="T49" s="115" t="n">
        <v>0</v>
      </c>
      <c r="U49" s="116">
        <f>L49+O49+R49</f>
        <v/>
      </c>
      <c r="V49" s="86">
        <f>G49+S49</f>
        <v/>
      </c>
      <c r="W49" s="115">
        <f>X49/V49</f>
        <v/>
      </c>
      <c r="X49" s="87">
        <f>I49+U49</f>
        <v/>
      </c>
    </row>
    <row r="50" ht="14.25" customHeight="1" s="3">
      <c r="A50" s="6" t="n">
        <v>48</v>
      </c>
      <c r="B50" s="80" t="inlineStr">
        <is>
          <t>010226</t>
        </is>
      </c>
      <c r="C50" s="15" t="inlineStr">
        <is>
          <t>食品类</t>
        </is>
      </c>
      <c r="D50" s="16" t="inlineStr">
        <is>
          <t>红片糖</t>
        </is>
      </c>
      <c r="E50" s="16" t="inlineStr">
        <is>
          <t>10KG/件</t>
        </is>
      </c>
      <c r="F50" s="16" t="inlineStr">
        <is>
          <t>件</t>
        </is>
      </c>
      <c r="G50" s="13" t="n">
        <v>0</v>
      </c>
      <c r="H50" s="17" t="n">
        <v>0</v>
      </c>
      <c r="I50" s="13" t="n">
        <v>0</v>
      </c>
      <c r="J50" s="42" t="n"/>
      <c r="K50" s="42" t="n"/>
      <c r="L50" s="117" t="n"/>
      <c r="M50" s="82" t="n"/>
      <c r="N50" s="82" t="n"/>
      <c r="O50" s="113" t="n"/>
      <c r="P50" s="84" t="n"/>
      <c r="Q50" s="84" t="n"/>
      <c r="R50" s="114" t="n"/>
      <c r="S50" s="18">
        <f>J50+M50+P50</f>
        <v/>
      </c>
      <c r="T50" s="115" t="n">
        <v>0</v>
      </c>
      <c r="U50" s="116">
        <f>L50+O50+R50</f>
        <v/>
      </c>
      <c r="V50" s="86">
        <f>G50+S50</f>
        <v/>
      </c>
      <c r="W50" s="115">
        <f>X50/V50</f>
        <v/>
      </c>
      <c r="X50" s="87">
        <f>I50+U50</f>
        <v/>
      </c>
    </row>
    <row r="51" ht="14.25" customHeight="1" s="3">
      <c r="A51" s="6" t="n">
        <v>49</v>
      </c>
      <c r="B51" s="14" t="inlineStr">
        <is>
          <t>020064</t>
        </is>
      </c>
      <c r="C51" s="14" t="inlineStr">
        <is>
          <t>易耗类</t>
        </is>
      </c>
      <c r="D51" s="16" t="inlineStr">
        <is>
          <t>粉小主小插旗</t>
        </is>
      </c>
      <c r="E51" s="14" t="inlineStr">
        <is>
          <t>500个/包</t>
        </is>
      </c>
      <c r="F51" s="14" t="inlineStr">
        <is>
          <t>包[1包=500个]</t>
        </is>
      </c>
      <c r="G51" s="13" t="n">
        <v>0.5</v>
      </c>
      <c r="H51" s="17" t="n">
        <v>65</v>
      </c>
      <c r="I51" s="13" t="n">
        <v>32.5</v>
      </c>
      <c r="J51" s="42" t="n"/>
      <c r="K51" s="42" t="n"/>
      <c r="L51" s="117" t="n"/>
      <c r="M51" s="82" t="n"/>
      <c r="N51" s="82" t="n"/>
      <c r="O51" s="113" t="n"/>
      <c r="P51" s="84" t="n"/>
      <c r="Q51" s="84" t="n"/>
      <c r="R51" s="114" t="n"/>
      <c r="S51" s="18">
        <f>J51+M51+P51</f>
        <v/>
      </c>
      <c r="T51" s="115" t="n">
        <v>65</v>
      </c>
      <c r="U51" s="116">
        <f>L51+O51+R51</f>
        <v/>
      </c>
      <c r="V51" s="86">
        <f>G51+S51</f>
        <v/>
      </c>
      <c r="W51" s="115">
        <f>X51/V51</f>
        <v/>
      </c>
      <c r="X51" s="87">
        <f>I51+U51</f>
        <v/>
      </c>
    </row>
    <row r="52" ht="28.5" customHeight="1" s="3">
      <c r="A52" s="6" t="n">
        <v>50</v>
      </c>
      <c r="B52" s="14" t="inlineStr">
        <is>
          <t>030003</t>
        </is>
      </c>
      <c r="C52" s="15" t="inlineStr">
        <is>
          <t>易耗类</t>
        </is>
      </c>
      <c r="D52" s="16" t="inlineStr">
        <is>
          <t>淋膜纸筷套（筷子、勺子、纸巾、牙签）</t>
        </is>
      </c>
      <c r="E52" s="14" t="inlineStr">
        <is>
          <t>件[1件=800个]</t>
        </is>
      </c>
      <c r="F52" s="14" t="inlineStr">
        <is>
          <t>800个/件</t>
        </is>
      </c>
      <c r="G52" s="13" t="n">
        <v>1.375</v>
      </c>
      <c r="H52" s="17" t="n">
        <v>243.6</v>
      </c>
      <c r="I52" s="13" t="n">
        <v>334.95</v>
      </c>
      <c r="J52" s="42" t="n">
        <v>1</v>
      </c>
      <c r="K52" s="42" t="n">
        <v>243.6</v>
      </c>
      <c r="L52" s="117" t="n">
        <v>243.6</v>
      </c>
      <c r="M52" s="82" t="n">
        <v>1</v>
      </c>
      <c r="N52" s="82" t="n">
        <v>243.6</v>
      </c>
      <c r="O52" s="113" t="n">
        <v>243.6</v>
      </c>
      <c r="P52" s="84" t="n">
        <v>1</v>
      </c>
      <c r="Q52" s="84" t="n">
        <v>243.6</v>
      </c>
      <c r="R52" s="114" t="n">
        <v>243.6</v>
      </c>
      <c r="S52" s="18">
        <f>J52+M52+P52</f>
        <v/>
      </c>
      <c r="T52" s="115" t="n">
        <v>243.6</v>
      </c>
      <c r="U52" s="116">
        <f>L52+O52+R52</f>
        <v/>
      </c>
      <c r="V52" s="86">
        <f>G52+S52</f>
        <v/>
      </c>
      <c r="W52" s="115">
        <f>X52/V52</f>
        <v/>
      </c>
      <c r="X52" s="87">
        <f>I52+U52</f>
        <v/>
      </c>
    </row>
    <row r="53" ht="14.25" customHeight="1" s="3">
      <c r="A53" s="6" t="n">
        <v>51</v>
      </c>
      <c r="B53" s="80" t="inlineStr">
        <is>
          <t>030004</t>
        </is>
      </c>
      <c r="C53" s="15" t="inlineStr">
        <is>
          <t>易耗类</t>
        </is>
      </c>
      <c r="D53" s="16" t="inlineStr">
        <is>
          <t>淋膜牛皮纸袋</t>
        </is>
      </c>
      <c r="E53" s="16" t="inlineStr">
        <is>
          <t>10000个/件</t>
        </is>
      </c>
      <c r="F53" s="16" t="inlineStr">
        <is>
          <t>个</t>
        </is>
      </c>
      <c r="G53" s="13" t="n">
        <v>500</v>
      </c>
      <c r="H53" s="17" t="n">
        <v>0.1733</v>
      </c>
      <c r="I53" s="13" t="n">
        <v>86.65000000000001</v>
      </c>
      <c r="J53" s="42" t="n"/>
      <c r="K53" s="42" t="n"/>
      <c r="L53" s="117" t="n"/>
      <c r="M53" s="82" t="n"/>
      <c r="N53" s="82" t="n"/>
      <c r="O53" s="113" t="n"/>
      <c r="P53" s="84" t="n">
        <v>300</v>
      </c>
      <c r="Q53" s="84" t="n">
        <v>0.1733</v>
      </c>
      <c r="R53" s="114" t="n">
        <v>51.99</v>
      </c>
      <c r="S53" s="18">
        <f>J53+M53+P53</f>
        <v/>
      </c>
      <c r="T53" s="115" t="n">
        <v>0.1733</v>
      </c>
      <c r="U53" s="116">
        <f>L53+O53+R53</f>
        <v/>
      </c>
      <c r="V53" s="86">
        <f>G53+S53</f>
        <v/>
      </c>
      <c r="W53" s="115">
        <f>X53/V53</f>
        <v/>
      </c>
      <c r="X53" s="87">
        <f>I53+U53</f>
        <v/>
      </c>
    </row>
    <row r="54" ht="14.25" customHeight="1" s="3">
      <c r="A54" s="6" t="n">
        <v>52</v>
      </c>
      <c r="B54" s="80" t="inlineStr">
        <is>
          <t>030007</t>
        </is>
      </c>
      <c r="C54" s="15" t="inlineStr">
        <is>
          <t>易耗类</t>
        </is>
      </c>
      <c r="D54" s="16" t="inlineStr">
        <is>
          <t>纸巾</t>
        </is>
      </c>
      <c r="E54" s="16" t="inlineStr">
        <is>
          <t>60包/件</t>
        </is>
      </c>
      <c r="F54" s="16" t="inlineStr">
        <is>
          <t>件[1件=60包]</t>
        </is>
      </c>
      <c r="G54" s="13" t="n">
        <v>1</v>
      </c>
      <c r="H54" s="17" t="n">
        <v>157.5</v>
      </c>
      <c r="I54" s="13" t="n">
        <v>157.5</v>
      </c>
      <c r="J54" s="42" t="n"/>
      <c r="K54" s="42" t="n"/>
      <c r="L54" s="117" t="n"/>
      <c r="M54" s="82" t="n"/>
      <c r="N54" s="82" t="n"/>
      <c r="O54" s="113" t="n"/>
      <c r="P54" s="84" t="n"/>
      <c r="Q54" s="84" t="n"/>
      <c r="R54" s="114" t="n"/>
      <c r="S54" s="18">
        <f>J54+M54+P54</f>
        <v/>
      </c>
      <c r="T54" s="115" t="n">
        <v>157.5</v>
      </c>
      <c r="U54" s="116">
        <f>L54+O54+R54</f>
        <v/>
      </c>
      <c r="V54" s="86">
        <f>G54+S54</f>
        <v/>
      </c>
      <c r="W54" s="115">
        <f>X54/V54</f>
        <v/>
      </c>
      <c r="X54" s="87">
        <f>I54+U54</f>
        <v/>
      </c>
    </row>
    <row r="55" ht="14.25" customHeight="1" s="3">
      <c r="A55" s="6" t="n">
        <v>53</v>
      </c>
      <c r="B55" s="80" t="inlineStr">
        <is>
          <t>030009</t>
        </is>
      </c>
      <c r="C55" s="15" t="inlineStr">
        <is>
          <t>易耗类</t>
        </is>
      </c>
      <c r="D55" s="16" t="inlineStr">
        <is>
          <t>吸油纸</t>
        </is>
      </c>
      <c r="E55" s="16" t="inlineStr">
        <is>
          <t>1000张/包</t>
        </is>
      </c>
      <c r="F55" s="16" t="inlineStr">
        <is>
          <t>包</t>
        </is>
      </c>
      <c r="G55" s="13" t="n">
        <v>3</v>
      </c>
      <c r="H55" s="17" t="n">
        <v>99.75</v>
      </c>
      <c r="I55" s="13" t="n">
        <v>299.25</v>
      </c>
      <c r="J55" s="42" t="n"/>
      <c r="K55" s="42" t="n"/>
      <c r="L55" s="117" t="n"/>
      <c r="M55" s="82" t="n"/>
      <c r="N55" s="82" t="n"/>
      <c r="O55" s="113" t="n"/>
      <c r="P55" s="84" t="n"/>
      <c r="Q55" s="84" t="n"/>
      <c r="R55" s="114" t="n"/>
      <c r="S55" s="18">
        <f>J55+M55+P55</f>
        <v/>
      </c>
      <c r="T55" s="115" t="n">
        <v>99.75</v>
      </c>
      <c r="U55" s="116">
        <f>L55+O55+R55</f>
        <v/>
      </c>
      <c r="V55" s="86">
        <f>G55+S55</f>
        <v/>
      </c>
      <c r="W55" s="115">
        <f>X55/V55</f>
        <v/>
      </c>
      <c r="X55" s="87">
        <f>I55+U55</f>
        <v/>
      </c>
    </row>
    <row r="56" ht="14.25" customHeight="1" s="3">
      <c r="A56" s="6" t="n">
        <v>54</v>
      </c>
      <c r="B56" s="80" t="inlineStr">
        <is>
          <t>030010</t>
        </is>
      </c>
      <c r="C56" s="15" t="inlineStr">
        <is>
          <t>易耗类</t>
        </is>
      </c>
      <c r="D56" s="16" t="inlineStr">
        <is>
          <t>镀铝保温袋</t>
        </is>
      </c>
      <c r="E56" s="16" t="inlineStr">
        <is>
          <t>500个/件</t>
        </is>
      </c>
      <c r="F56" s="16" t="inlineStr">
        <is>
          <t>件[1件=500个]</t>
        </is>
      </c>
      <c r="G56" s="13" t="n">
        <v>2.3</v>
      </c>
      <c r="H56" s="17" t="n">
        <v>454</v>
      </c>
      <c r="I56" s="13" t="n">
        <v>1044.2</v>
      </c>
      <c r="J56" s="42" t="n">
        <v>1</v>
      </c>
      <c r="K56" s="42" t="n">
        <v>454</v>
      </c>
      <c r="L56" s="117" t="n">
        <v>454</v>
      </c>
      <c r="M56" s="82" t="n">
        <v>1</v>
      </c>
      <c r="N56" s="82" t="n">
        <v>454</v>
      </c>
      <c r="O56" s="113" t="n">
        <v>454</v>
      </c>
      <c r="P56" s="84" t="n">
        <v>1</v>
      </c>
      <c r="Q56" s="84" t="n">
        <v>454</v>
      </c>
      <c r="R56" s="114" t="n">
        <v>454</v>
      </c>
      <c r="S56" s="18">
        <f>J56+M56+P56</f>
        <v/>
      </c>
      <c r="T56" s="115" t="n">
        <v>454</v>
      </c>
      <c r="U56" s="116">
        <f>L56+O56+R56</f>
        <v/>
      </c>
      <c r="V56" s="86">
        <f>G56+S56</f>
        <v/>
      </c>
      <c r="W56" s="115">
        <f>X56/V56</f>
        <v/>
      </c>
      <c r="X56" s="87">
        <f>I56+U56</f>
        <v/>
      </c>
    </row>
    <row r="57" ht="14.25" customHeight="1" s="3">
      <c r="A57" s="6" t="n">
        <v>55</v>
      </c>
      <c r="B57" s="80" t="inlineStr">
        <is>
          <t>030012</t>
        </is>
      </c>
      <c r="C57" s="15" t="inlineStr">
        <is>
          <t>易耗类</t>
        </is>
      </c>
      <c r="D57" s="16" t="inlineStr">
        <is>
          <t>白色汤粉餐盒（1700毫升）</t>
        </is>
      </c>
      <c r="E57" s="16" t="inlineStr">
        <is>
          <t>300个/件</t>
        </is>
      </c>
      <c r="F57" s="16" t="inlineStr">
        <is>
          <t>件[1件=300个]</t>
        </is>
      </c>
      <c r="G57" s="13" t="n">
        <v>0</v>
      </c>
      <c r="H57" s="17" t="n">
        <v>240</v>
      </c>
      <c r="I57" s="13" t="n">
        <v>0</v>
      </c>
      <c r="J57" s="42" t="n"/>
      <c r="K57" s="42" t="n"/>
      <c r="L57" s="117" t="n"/>
      <c r="M57" s="82" t="n"/>
      <c r="N57" s="82" t="n"/>
      <c r="O57" s="113" t="n"/>
      <c r="P57" s="84" t="n"/>
      <c r="Q57" s="84" t="n"/>
      <c r="R57" s="114" t="n"/>
      <c r="S57" s="18">
        <f>J57+M57+P57</f>
        <v/>
      </c>
      <c r="T57" s="115" t="n">
        <v>240</v>
      </c>
      <c r="U57" s="116">
        <f>L57+O57+R57</f>
        <v/>
      </c>
      <c r="V57" s="86">
        <f>G57+S57</f>
        <v/>
      </c>
      <c r="W57" s="115">
        <f>X57/V57</f>
        <v/>
      </c>
      <c r="X57" s="87">
        <f>I57+U57</f>
        <v/>
      </c>
    </row>
    <row r="58" ht="14.25" customHeight="1" s="3">
      <c r="A58" s="6" t="n">
        <v>56</v>
      </c>
      <c r="B58" s="80" t="inlineStr">
        <is>
          <t>030013</t>
        </is>
      </c>
      <c r="C58" s="15" t="inlineStr">
        <is>
          <t>易耗类</t>
        </is>
      </c>
      <c r="D58" s="16" t="inlineStr">
        <is>
          <t>内托</t>
        </is>
      </c>
      <c r="E58" s="16" t="inlineStr">
        <is>
          <t>150个/件</t>
        </is>
      </c>
      <c r="F58" s="16" t="inlineStr">
        <is>
          <t>件[1件=150个]</t>
        </is>
      </c>
      <c r="G58" s="13" t="n">
        <v>5</v>
      </c>
      <c r="H58" s="17" t="n">
        <v>47.25</v>
      </c>
      <c r="I58" s="13" t="n">
        <v>236.25</v>
      </c>
      <c r="J58" s="42" t="n"/>
      <c r="K58" s="42" t="n"/>
      <c r="L58" s="117" t="n"/>
      <c r="M58" s="82" t="n">
        <v>6</v>
      </c>
      <c r="N58" s="82" t="n">
        <v>47.25</v>
      </c>
      <c r="O58" s="113" t="n">
        <v>283.5</v>
      </c>
      <c r="P58" s="84" t="n">
        <v>4</v>
      </c>
      <c r="Q58" s="84" t="n">
        <v>47.25</v>
      </c>
      <c r="R58" s="114" t="n">
        <v>189</v>
      </c>
      <c r="S58" s="18">
        <f>J58+M58+P58</f>
        <v/>
      </c>
      <c r="T58" s="115" t="n">
        <v>47.25</v>
      </c>
      <c r="U58" s="116">
        <f>L58+O58+R58</f>
        <v/>
      </c>
      <c r="V58" s="86">
        <f>G58+S58</f>
        <v/>
      </c>
      <c r="W58" s="115">
        <f>X58/V58</f>
        <v/>
      </c>
      <c r="X58" s="87">
        <f>I58+U58</f>
        <v/>
      </c>
    </row>
    <row r="59" ht="28.5" customHeight="1" s="3">
      <c r="A59" s="6" t="n">
        <v>57</v>
      </c>
      <c r="B59" s="80" t="inlineStr">
        <is>
          <t>030016</t>
        </is>
      </c>
      <c r="C59" s="15" t="inlineStr">
        <is>
          <t>易耗类</t>
        </is>
      </c>
      <c r="D59" s="16" t="inlineStr">
        <is>
          <t>白色圆形塑料盒盖子+膜内贴</t>
        </is>
      </c>
      <c r="E59" s="16" t="inlineStr">
        <is>
          <t>300个/件</t>
        </is>
      </c>
      <c r="F59" s="16" t="inlineStr">
        <is>
          <t>件[1件=300个]</t>
        </is>
      </c>
      <c r="G59" s="13" t="n">
        <v>3</v>
      </c>
      <c r="H59" s="17" t="n">
        <v>141.75</v>
      </c>
      <c r="I59" s="13" t="n">
        <v>425.25</v>
      </c>
      <c r="J59" s="42" t="n"/>
      <c r="K59" s="42" t="n"/>
      <c r="L59" s="117" t="n"/>
      <c r="M59" s="82" t="n">
        <v>3</v>
      </c>
      <c r="N59" s="82" t="n">
        <v>141.75</v>
      </c>
      <c r="O59" s="113" t="n">
        <v>425.25</v>
      </c>
      <c r="P59" s="84" t="n">
        <v>2</v>
      </c>
      <c r="Q59" s="84" t="n">
        <v>141.75</v>
      </c>
      <c r="R59" s="114" t="n">
        <v>283.5</v>
      </c>
      <c r="S59" s="18">
        <f>J59+M59+P59</f>
        <v/>
      </c>
      <c r="T59" s="115" t="n">
        <v>141.75</v>
      </c>
      <c r="U59" s="116">
        <f>L59+O59+R59</f>
        <v/>
      </c>
      <c r="V59" s="86">
        <f>G59+S59</f>
        <v/>
      </c>
      <c r="W59" s="115">
        <f>X59/V59</f>
        <v/>
      </c>
      <c r="X59" s="87">
        <f>I59+U59</f>
        <v/>
      </c>
    </row>
    <row r="60" ht="14.25" customHeight="1" s="3">
      <c r="A60" s="6" t="n">
        <v>58</v>
      </c>
      <c r="B60" s="80" t="inlineStr">
        <is>
          <t>030017</t>
        </is>
      </c>
      <c r="C60" s="15" t="inlineStr">
        <is>
          <t>易耗类</t>
        </is>
      </c>
      <c r="D60" s="16" t="inlineStr">
        <is>
          <t>酸奶豆花打包盒（配盖）</t>
        </is>
      </c>
      <c r="E60" s="16" t="inlineStr">
        <is>
          <t>1000个/件</t>
        </is>
      </c>
      <c r="F60" s="16" t="inlineStr">
        <is>
          <t>件[1件=1000个]</t>
        </is>
      </c>
      <c r="G60" s="13" t="n">
        <v>0.7</v>
      </c>
      <c r="H60" s="17" t="n">
        <v>294</v>
      </c>
      <c r="I60" s="13" t="n">
        <v>205.8</v>
      </c>
      <c r="J60" s="42" t="n"/>
      <c r="K60" s="42" t="n"/>
      <c r="L60" s="81" t="n"/>
      <c r="M60" s="82" t="n"/>
      <c r="N60" s="82" t="n"/>
      <c r="O60" s="113" t="n"/>
      <c r="P60" s="84" t="n"/>
      <c r="Q60" s="84" t="n"/>
      <c r="R60" s="114" t="n"/>
      <c r="S60" s="18">
        <f>J60+M60+P60</f>
        <v/>
      </c>
      <c r="T60" s="115" t="n">
        <v>294</v>
      </c>
      <c r="U60" s="116">
        <f>L60+O60+R60</f>
        <v/>
      </c>
      <c r="V60" s="86">
        <f>G60+S60</f>
        <v/>
      </c>
      <c r="W60" s="115">
        <f>X60/V60</f>
        <v/>
      </c>
      <c r="X60" s="87">
        <f>I60+U60</f>
        <v/>
      </c>
    </row>
    <row r="61" ht="33" customHeight="1" s="3">
      <c r="A61" s="6" t="n">
        <v>59</v>
      </c>
      <c r="B61" s="89" t="inlineStr">
        <is>
          <t>030017A</t>
        </is>
      </c>
      <c r="C61" s="13" t="inlineStr">
        <is>
          <t>易耗类</t>
        </is>
      </c>
      <c r="D61" s="22" t="inlineStr">
        <is>
          <t>白色圆形塑料拌粉盒（850）</t>
        </is>
      </c>
      <c r="E61" s="16" t="inlineStr">
        <is>
          <t>300个/件</t>
        </is>
      </c>
      <c r="F61" s="16" t="inlineStr">
        <is>
          <t>件</t>
        </is>
      </c>
      <c r="G61" s="13" t="n">
        <v>1</v>
      </c>
      <c r="H61" s="17" t="n">
        <v>182.7</v>
      </c>
      <c r="I61" s="13" t="n">
        <v>182.7</v>
      </c>
      <c r="J61" s="42" t="n"/>
      <c r="K61" s="42" t="n"/>
      <c r="L61" s="117" t="n"/>
      <c r="M61" s="82" t="n"/>
      <c r="N61" s="82" t="n"/>
      <c r="O61" s="113" t="n"/>
      <c r="P61" s="84" t="n"/>
      <c r="Q61" s="84" t="n"/>
      <c r="R61" s="114" t="n"/>
      <c r="S61" s="18">
        <f>J61+M61+P61</f>
        <v/>
      </c>
      <c r="T61" s="115" t="n">
        <v>182.7</v>
      </c>
      <c r="U61" s="116">
        <f>L61+O61+R61</f>
        <v/>
      </c>
      <c r="V61" s="86">
        <f>G61+S61</f>
        <v/>
      </c>
      <c r="W61" s="115">
        <f>X61/V61</f>
        <v/>
      </c>
      <c r="X61" s="87">
        <f>I61+U61</f>
        <v/>
      </c>
    </row>
    <row r="62" ht="14.25" customHeight="1" s="3">
      <c r="A62" s="6" t="n">
        <v>60</v>
      </c>
      <c r="B62" s="80" t="inlineStr">
        <is>
          <t>030021</t>
        </is>
      </c>
      <c r="C62" s="15" t="inlineStr">
        <is>
          <t>易耗类</t>
        </is>
      </c>
      <c r="D62" s="16" t="inlineStr">
        <is>
          <t>粉小主9A纸杯</t>
        </is>
      </c>
      <c r="E62" s="16" t="inlineStr">
        <is>
          <t>2000个/件</t>
        </is>
      </c>
      <c r="F62" s="16" t="inlineStr">
        <is>
          <t>件[1件=2000个]</t>
        </is>
      </c>
      <c r="G62" s="13" t="n">
        <v>1.3</v>
      </c>
      <c r="H62" s="17" t="n">
        <v>252</v>
      </c>
      <c r="I62" s="13" t="n">
        <v>327.6</v>
      </c>
      <c r="J62" s="42" t="n"/>
      <c r="K62" s="42" t="n"/>
      <c r="L62" s="81" t="n"/>
      <c r="M62" s="82" t="n"/>
      <c r="N62" s="82" t="n"/>
      <c r="O62" s="113" t="n"/>
      <c r="P62" s="84" t="n">
        <v>1</v>
      </c>
      <c r="Q62" s="84" t="n">
        <v>252</v>
      </c>
      <c r="R62" s="114" t="n">
        <v>252</v>
      </c>
      <c r="S62" s="18">
        <f>J62+M62+P62</f>
        <v/>
      </c>
      <c r="T62" s="115" t="n">
        <v>252</v>
      </c>
      <c r="U62" s="116">
        <f>L62+O62+R62</f>
        <v/>
      </c>
      <c r="V62" s="86">
        <f>G62+S62</f>
        <v/>
      </c>
      <c r="W62" s="115">
        <f>X62/V62</f>
        <v/>
      </c>
      <c r="X62" s="87">
        <f>I62+U62</f>
        <v/>
      </c>
    </row>
    <row r="63" ht="28.5" customHeight="1" s="3">
      <c r="A63" s="6" t="n">
        <v>61</v>
      </c>
      <c r="B63" s="80" t="inlineStr">
        <is>
          <t>030022</t>
        </is>
      </c>
      <c r="C63" s="15" t="inlineStr">
        <is>
          <t>易耗类</t>
        </is>
      </c>
      <c r="D63" s="16" t="inlineStr">
        <is>
          <t>25.5*40.5大号打包袋（光氧降解）</t>
        </is>
      </c>
      <c r="E63" s="16" t="inlineStr">
        <is>
          <t>5000个/件</t>
        </is>
      </c>
      <c r="F63" s="16" t="inlineStr">
        <is>
          <t>件[1件=5000个]</t>
        </is>
      </c>
      <c r="G63" s="90" t="n">
        <v>0</v>
      </c>
      <c r="H63" s="17" t="n">
        <v>1522.5</v>
      </c>
      <c r="I63" s="13" t="n">
        <v>0</v>
      </c>
      <c r="J63" s="42" t="n"/>
      <c r="K63" s="42" t="n"/>
      <c r="L63" s="117" t="n"/>
      <c r="M63" s="82" t="n"/>
      <c r="N63" s="82" t="n"/>
      <c r="O63" s="113" t="n"/>
      <c r="P63" s="84" t="n"/>
      <c r="Q63" s="84" t="n"/>
      <c r="R63" s="114" t="n"/>
      <c r="S63" s="18">
        <f>J63+M63+P63</f>
        <v/>
      </c>
      <c r="T63" s="17" t="n">
        <v>1522.5</v>
      </c>
      <c r="U63" s="116">
        <f>L63+O63+R63</f>
        <v/>
      </c>
      <c r="V63" s="86">
        <f>G63+S63</f>
        <v/>
      </c>
      <c r="W63" s="115">
        <f>X63/V63</f>
        <v/>
      </c>
      <c r="X63" s="87">
        <f>I63+U63</f>
        <v/>
      </c>
    </row>
    <row r="64" ht="14.25" customHeight="1" s="3">
      <c r="A64" s="6" t="n">
        <v>62</v>
      </c>
      <c r="B64" s="80" t="inlineStr">
        <is>
          <t>030027</t>
        </is>
      </c>
      <c r="C64" s="15" t="inlineStr">
        <is>
          <t>易耗类</t>
        </is>
      </c>
      <c r="D64" s="16" t="inlineStr">
        <is>
          <t>菜单</t>
        </is>
      </c>
      <c r="E64" s="16" t="inlineStr">
        <is>
          <t>1000张/套</t>
        </is>
      </c>
      <c r="F64" s="16" t="inlineStr">
        <is>
          <t>包</t>
        </is>
      </c>
      <c r="G64" s="13" t="n">
        <v>0</v>
      </c>
      <c r="H64" s="17" t="n">
        <v>0</v>
      </c>
      <c r="I64" s="13" t="n">
        <v>0</v>
      </c>
      <c r="J64" s="42" t="n"/>
      <c r="K64" s="42" t="n"/>
      <c r="L64" s="117" t="n"/>
      <c r="M64" s="82" t="n"/>
      <c r="N64" s="82" t="n"/>
      <c r="O64" s="113" t="n"/>
      <c r="P64" s="84" t="n"/>
      <c r="Q64" s="84" t="n"/>
      <c r="R64" s="114" t="n"/>
      <c r="S64" s="18">
        <f>J64+M64+P64</f>
        <v/>
      </c>
      <c r="T64" s="115" t="n">
        <v>0</v>
      </c>
      <c r="U64" s="116">
        <f>L64+O64+R64</f>
        <v/>
      </c>
      <c r="V64" s="86">
        <f>G64+S64</f>
        <v/>
      </c>
      <c r="W64" s="115">
        <f>X64/V64</f>
        <v/>
      </c>
      <c r="X64" s="87">
        <f>I64+U64</f>
        <v/>
      </c>
    </row>
    <row r="65" ht="14.25" customHeight="1" s="3">
      <c r="A65" s="6" t="n">
        <v>63</v>
      </c>
      <c r="B65" s="103" t="inlineStr">
        <is>
          <t>010215</t>
        </is>
      </c>
      <c r="C65" s="15" t="inlineStr">
        <is>
          <t>食品类</t>
        </is>
      </c>
      <c r="D65" s="16" t="inlineStr">
        <is>
          <t>香辣脆</t>
        </is>
      </c>
      <c r="E65" s="16" t="inlineStr">
        <is>
          <t>2.5kg/包5包/件</t>
        </is>
      </c>
      <c r="F65" s="16" t="inlineStr">
        <is>
          <t>包</t>
        </is>
      </c>
      <c r="G65" s="13" t="n">
        <v>0</v>
      </c>
      <c r="H65" s="17" t="n">
        <v>54.81</v>
      </c>
      <c r="I65" s="13" t="n">
        <v>0</v>
      </c>
      <c r="J65" s="42" t="n"/>
      <c r="K65" s="42" t="n"/>
      <c r="L65" s="117" t="n"/>
      <c r="M65" s="82" t="n"/>
      <c r="N65" s="82" t="n"/>
      <c r="O65" s="113" t="n"/>
      <c r="P65" s="84" t="n"/>
      <c r="Q65" s="84" t="n"/>
      <c r="R65" s="114" t="n"/>
      <c r="S65" s="18">
        <f>J65+M65+P65</f>
        <v/>
      </c>
      <c r="T65" s="115" t="n">
        <v>54.81</v>
      </c>
      <c r="U65" s="116">
        <f>L65+O65+R65</f>
        <v/>
      </c>
      <c r="V65" s="86">
        <f>G65+S65</f>
        <v/>
      </c>
      <c r="W65" s="115">
        <f>X65/V65</f>
        <v/>
      </c>
      <c r="X65" s="87">
        <f>I65+U65</f>
        <v/>
      </c>
    </row>
    <row r="66" ht="14.25" customHeight="1" s="3">
      <c r="A66" s="6" t="n">
        <v>64</v>
      </c>
      <c r="B66" s="103" t="inlineStr">
        <is>
          <t>030006</t>
        </is>
      </c>
      <c r="C66" s="15" t="inlineStr">
        <is>
          <t>易耗类</t>
        </is>
      </c>
      <c r="D66" s="16" t="inlineStr">
        <is>
          <t>筷子套</t>
        </is>
      </c>
      <c r="E66" s="16" t="inlineStr">
        <is>
          <t>30000个/件</t>
        </is>
      </c>
      <c r="F66" s="16" t="inlineStr">
        <is>
          <t>件</t>
        </is>
      </c>
      <c r="G66" s="13" t="n">
        <v>1</v>
      </c>
      <c r="H66" s="17" t="n">
        <v>1417.5</v>
      </c>
      <c r="I66" s="13" t="n">
        <v>1417.5</v>
      </c>
      <c r="J66" s="42" t="n"/>
      <c r="K66" s="42" t="n"/>
      <c r="L66" s="117" t="n"/>
      <c r="M66" s="82" t="n"/>
      <c r="N66" s="82" t="n"/>
      <c r="O66" s="113" t="n"/>
      <c r="P66" s="84" t="n"/>
      <c r="Q66" s="84" t="n"/>
      <c r="R66" s="114" t="n"/>
      <c r="S66" s="18">
        <f>J66+M66+P66</f>
        <v/>
      </c>
      <c r="T66" s="115" t="n">
        <v>1417.5</v>
      </c>
      <c r="U66" s="116">
        <f>L66+O66+R66</f>
        <v/>
      </c>
      <c r="V66" s="86">
        <f>G66+S66</f>
        <v/>
      </c>
      <c r="W66" s="115">
        <f>X66/V66</f>
        <v/>
      </c>
      <c r="X66" s="87">
        <f>I66+U66</f>
        <v/>
      </c>
    </row>
    <row r="67" ht="14.25" customHeight="1" s="3">
      <c r="A67" s="6" t="n">
        <v>65</v>
      </c>
      <c r="B67" s="103" t="inlineStr">
        <is>
          <t>010228</t>
        </is>
      </c>
      <c r="C67" s="15" t="inlineStr">
        <is>
          <t>食品类</t>
        </is>
      </c>
      <c r="D67" s="16" t="inlineStr">
        <is>
          <t>新油辣椒</t>
        </is>
      </c>
      <c r="E67" s="16" t="inlineStr">
        <is>
          <t>2.5kg/包*6包/件</t>
        </is>
      </c>
      <c r="F67" s="16" t="inlineStr">
        <is>
          <t>包</t>
        </is>
      </c>
      <c r="G67" s="13" t="n">
        <v>1</v>
      </c>
      <c r="H67" s="17" t="n">
        <v>73.5</v>
      </c>
      <c r="I67" s="13" t="n">
        <v>73.5</v>
      </c>
      <c r="J67" s="42" t="n"/>
      <c r="K67" s="42" t="n"/>
      <c r="L67" s="81" t="n"/>
      <c r="M67" s="82" t="n"/>
      <c r="N67" s="82" t="n"/>
      <c r="O67" s="113" t="n"/>
      <c r="P67" s="84" t="n"/>
      <c r="Q67" s="84" t="n"/>
      <c r="R67" s="114" t="n"/>
      <c r="S67" s="18">
        <f>J67+M67+P67</f>
        <v/>
      </c>
      <c r="T67" s="115" t="n">
        <v>73.5</v>
      </c>
      <c r="U67" s="116">
        <f>L67+O67+R67</f>
        <v/>
      </c>
      <c r="V67" s="86">
        <f>G67+S67</f>
        <v/>
      </c>
      <c r="W67" s="115">
        <f>X67/V67</f>
        <v/>
      </c>
      <c r="X67" s="87">
        <f>I67+U67</f>
        <v/>
      </c>
    </row>
    <row r="68" ht="14.25" customHeight="1" s="3">
      <c r="A68" s="6" t="n">
        <v>66</v>
      </c>
      <c r="B68" s="103" t="inlineStr">
        <is>
          <t>010230</t>
        </is>
      </c>
      <c r="C68" s="15" t="inlineStr">
        <is>
          <t>食品类</t>
        </is>
      </c>
      <c r="D68" s="16" t="inlineStr">
        <is>
          <t>杨梅汁</t>
        </is>
      </c>
      <c r="E68" s="16" t="inlineStr">
        <is>
          <t>260ML/瓶</t>
        </is>
      </c>
      <c r="F68" s="16" t="inlineStr">
        <is>
          <t>件</t>
        </is>
      </c>
      <c r="G68" s="13" t="n">
        <v>2</v>
      </c>
      <c r="H68" s="17" t="n">
        <v>105</v>
      </c>
      <c r="I68" s="13" t="n">
        <v>210</v>
      </c>
      <c r="J68" s="42" t="n">
        <v>2</v>
      </c>
      <c r="K68" s="42" t="n">
        <v>105</v>
      </c>
      <c r="L68" s="117" t="n">
        <v>210</v>
      </c>
      <c r="M68" s="82" t="n"/>
      <c r="N68" s="82" t="n"/>
      <c r="O68" s="113" t="n"/>
      <c r="P68" s="84" t="n">
        <v>1</v>
      </c>
      <c r="Q68" s="84" t="n">
        <v>105</v>
      </c>
      <c r="R68" s="114" t="n">
        <v>105</v>
      </c>
      <c r="S68" s="18">
        <f>J68+M68+P68</f>
        <v/>
      </c>
      <c r="T68" s="115" t="n">
        <v>105</v>
      </c>
      <c r="U68" s="116">
        <f>L68+O68+R68</f>
        <v/>
      </c>
      <c r="V68" s="86">
        <f>G68+S68</f>
        <v/>
      </c>
      <c r="W68" s="115">
        <f>X68/V68</f>
        <v/>
      </c>
      <c r="X68" s="87">
        <f>I68+U68</f>
        <v/>
      </c>
    </row>
    <row r="69" ht="14.25" customHeight="1" s="3">
      <c r="A69" s="6" t="n">
        <v>67</v>
      </c>
      <c r="B69" s="80" t="inlineStr">
        <is>
          <t>020010</t>
        </is>
      </c>
      <c r="C69" s="15" t="inlineStr">
        <is>
          <t>易耗类</t>
        </is>
      </c>
      <c r="D69" s="16" t="inlineStr">
        <is>
          <t>28鸡翅木筷</t>
        </is>
      </c>
      <c r="E69" s="16" t="inlineStr">
        <is>
          <t>28CM</t>
        </is>
      </c>
      <c r="F69" s="16" t="inlineStr">
        <is>
          <t>双</t>
        </is>
      </c>
      <c r="G69" s="13" t="n">
        <v>0</v>
      </c>
      <c r="H69" s="17" t="n">
        <v>0</v>
      </c>
      <c r="I69" s="13" t="n">
        <v>0</v>
      </c>
      <c r="J69" s="42" t="n"/>
      <c r="K69" s="42" t="n"/>
      <c r="L69" s="117" t="n"/>
      <c r="M69" s="82" t="n"/>
      <c r="N69" s="82" t="n"/>
      <c r="O69" s="113" t="n"/>
      <c r="P69" s="84" t="n"/>
      <c r="Q69" s="84" t="n"/>
      <c r="R69" s="114" t="n"/>
      <c r="S69" s="18">
        <f>J69+M69+P69</f>
        <v/>
      </c>
      <c r="T69" s="115" t="n">
        <v>0</v>
      </c>
      <c r="U69" s="116">
        <f>L69+O69+R69</f>
        <v/>
      </c>
      <c r="V69" s="86">
        <f>G69+S69</f>
        <v/>
      </c>
      <c r="W69" s="115">
        <f>X69/V69</f>
        <v/>
      </c>
      <c r="X69" s="87">
        <f>I69+U69</f>
        <v/>
      </c>
    </row>
    <row r="70" ht="14.25" customHeight="1" s="3">
      <c r="A70" s="6" t="n">
        <v>68</v>
      </c>
      <c r="B70" s="80" t="inlineStr">
        <is>
          <t>030012A</t>
        </is>
      </c>
      <c r="C70" s="15" t="inlineStr">
        <is>
          <t>易耗类</t>
        </is>
      </c>
      <c r="D70" s="16" t="inlineStr">
        <is>
          <t>粉小主450小吃打包盒</t>
        </is>
      </c>
      <c r="E70" s="16" t="inlineStr">
        <is>
          <t>300个/件</t>
        </is>
      </c>
      <c r="F70" s="16" t="inlineStr">
        <is>
          <t>件[1件=300个]</t>
        </is>
      </c>
      <c r="G70" s="90" t="n">
        <v>1</v>
      </c>
      <c r="H70" s="17" t="n">
        <v>630</v>
      </c>
      <c r="I70" s="13" t="n">
        <v>630</v>
      </c>
      <c r="J70" s="42" t="n"/>
      <c r="K70" s="42" t="n"/>
      <c r="L70" s="117" t="n"/>
      <c r="M70" s="82" t="n"/>
      <c r="N70" s="82" t="n"/>
      <c r="O70" s="113" t="n"/>
      <c r="P70" s="84" t="n"/>
      <c r="Q70" s="84" t="n"/>
      <c r="R70" s="114" t="n"/>
      <c r="S70" s="18">
        <f>J70+M70+P70</f>
        <v/>
      </c>
      <c r="T70" s="115" t="n">
        <v>630</v>
      </c>
      <c r="U70" s="116">
        <f>L70+O70+R70</f>
        <v/>
      </c>
      <c r="V70" s="86">
        <f>G70+S70</f>
        <v/>
      </c>
      <c r="W70" s="115">
        <f>X70/V70</f>
        <v/>
      </c>
      <c r="X70" s="87">
        <f>I70+U70</f>
        <v/>
      </c>
    </row>
    <row r="71" ht="14.25" customHeight="1" s="3">
      <c r="A71" s="6" t="n">
        <v>69</v>
      </c>
      <c r="B71" s="103" t="inlineStr">
        <is>
          <t>010231</t>
        </is>
      </c>
      <c r="C71" s="15" t="inlineStr">
        <is>
          <t>食品类</t>
        </is>
      </c>
      <c r="D71" s="16" t="inlineStr">
        <is>
          <t>酥脆一口香</t>
        </is>
      </c>
      <c r="E71" s="16" t="inlineStr">
        <is>
          <t>500g/包*10包/件</t>
        </is>
      </c>
      <c r="F71" s="16" t="inlineStr">
        <is>
          <t>件</t>
        </is>
      </c>
      <c r="G71" s="13" t="n">
        <v>0</v>
      </c>
      <c r="H71" s="17" t="n">
        <v>241.5</v>
      </c>
      <c r="I71" s="13" t="n">
        <v>0</v>
      </c>
      <c r="J71" s="42" t="n"/>
      <c r="K71" s="42" t="n"/>
      <c r="L71" s="117" t="n"/>
      <c r="M71" s="82" t="n"/>
      <c r="N71" s="82" t="n"/>
      <c r="O71" s="113" t="n"/>
      <c r="P71" s="84" t="n"/>
      <c r="Q71" s="84" t="n"/>
      <c r="R71" s="114" t="n"/>
      <c r="S71" s="18">
        <f>J71+M71+P71</f>
        <v/>
      </c>
      <c r="T71" s="115" t="n">
        <v>241.5</v>
      </c>
      <c r="U71" s="116">
        <f>L71+O71+R71</f>
        <v/>
      </c>
      <c r="V71" s="86">
        <f>G71+S71</f>
        <v/>
      </c>
      <c r="W71" s="115">
        <f>X71/V71</f>
        <v/>
      </c>
      <c r="X71" s="87">
        <f>I71+U71</f>
        <v/>
      </c>
    </row>
    <row r="72" ht="14.25" customHeight="1" s="3">
      <c r="A72" s="6" t="n">
        <v>70</v>
      </c>
      <c r="B72" s="103" t="inlineStr">
        <is>
          <t>010140</t>
        </is>
      </c>
      <c r="C72" s="15" t="inlineStr">
        <is>
          <t>食品类</t>
        </is>
      </c>
      <c r="D72" s="16" t="inlineStr">
        <is>
          <t>油炸平菇</t>
        </is>
      </c>
      <c r="E72" s="16" t="inlineStr">
        <is>
          <t>1Kg/包*10包/件</t>
        </is>
      </c>
      <c r="F72" s="16" t="inlineStr">
        <is>
          <t>件</t>
        </is>
      </c>
      <c r="G72" s="13" t="n">
        <v>0</v>
      </c>
      <c r="H72" s="17" t="n">
        <v>0</v>
      </c>
      <c r="I72" s="13" t="n">
        <v>0</v>
      </c>
      <c r="J72" s="42" t="n"/>
      <c r="K72" s="42" t="n"/>
      <c r="L72" s="117" t="n"/>
      <c r="M72" s="82" t="n"/>
      <c r="N72" s="82" t="n"/>
      <c r="O72" s="113" t="n"/>
      <c r="P72" s="84" t="n"/>
      <c r="Q72" s="84" t="n"/>
      <c r="R72" s="114" t="n"/>
      <c r="S72" s="18">
        <f>J72+M72+P72</f>
        <v/>
      </c>
      <c r="T72" s="115" t="n">
        <v>0</v>
      </c>
      <c r="U72" s="116">
        <f>L72+O72+R72</f>
        <v/>
      </c>
      <c r="V72" s="86">
        <f>G72+S72</f>
        <v/>
      </c>
      <c r="W72" s="115">
        <f>X72/V72</f>
        <v/>
      </c>
      <c r="X72" s="87">
        <f>I72+U72</f>
        <v/>
      </c>
    </row>
    <row r="73" ht="14.25" customHeight="1" s="3">
      <c r="A73" s="6" t="n">
        <v>71</v>
      </c>
      <c r="B73" s="103" t="inlineStr">
        <is>
          <t>010089</t>
        </is>
      </c>
      <c r="C73" s="15" t="inlineStr">
        <is>
          <t>食品类</t>
        </is>
      </c>
      <c r="D73" s="16" t="inlineStr">
        <is>
          <t>水天堂黑鱼片</t>
        </is>
      </c>
      <c r="E73" s="16" t="inlineStr">
        <is>
          <t>1.5Kg/包*8包/件</t>
        </is>
      </c>
      <c r="F73" s="16" t="inlineStr">
        <is>
          <t>件</t>
        </is>
      </c>
      <c r="G73" s="13" t="n">
        <v>0</v>
      </c>
      <c r="H73" s="17" t="n">
        <v>504</v>
      </c>
      <c r="I73" s="13" t="n">
        <v>0</v>
      </c>
      <c r="J73" s="42" t="n"/>
      <c r="K73" s="42" t="n"/>
      <c r="L73" s="117" t="n"/>
      <c r="M73" s="82" t="n"/>
      <c r="N73" s="82" t="n"/>
      <c r="O73" s="113" t="n"/>
      <c r="P73" s="84" t="n"/>
      <c r="Q73" s="84" t="n"/>
      <c r="R73" s="114" t="n"/>
      <c r="S73" s="18">
        <f>J73+M73+P73</f>
        <v/>
      </c>
      <c r="T73" s="115" t="n">
        <v>504</v>
      </c>
      <c r="U73" s="116">
        <f>L73+O73+R73</f>
        <v/>
      </c>
      <c r="V73" s="86">
        <f>G73+S73</f>
        <v/>
      </c>
      <c r="W73" s="115">
        <f>X73/V73</f>
        <v/>
      </c>
      <c r="X73" s="87">
        <f>I73+U73</f>
        <v/>
      </c>
    </row>
    <row r="74" ht="14.25" customHeight="1" s="3">
      <c r="A74" s="6" t="n">
        <v>72</v>
      </c>
      <c r="B74" s="103" t="inlineStr">
        <is>
          <t>010083</t>
        </is>
      </c>
      <c r="C74" s="15" t="inlineStr">
        <is>
          <t>食品类</t>
        </is>
      </c>
      <c r="D74" s="16" t="inlineStr">
        <is>
          <t>台湾卤肉</t>
        </is>
      </c>
      <c r="E74" s="16" t="inlineStr">
        <is>
          <t>150g/包*60包/件</t>
        </is>
      </c>
      <c r="F74" s="16" t="inlineStr">
        <is>
          <t>件</t>
        </is>
      </c>
      <c r="G74" s="13" t="n">
        <v>0</v>
      </c>
      <c r="H74" s="17" t="n">
        <v>415.8</v>
      </c>
      <c r="I74" s="13" t="n">
        <v>0</v>
      </c>
      <c r="J74" s="42" t="n"/>
      <c r="K74" s="42" t="n"/>
      <c r="L74" s="117" t="n"/>
      <c r="M74" s="82" t="n"/>
      <c r="N74" s="82" t="n"/>
      <c r="O74" s="113" t="n"/>
      <c r="P74" s="84" t="n"/>
      <c r="Q74" s="84" t="n"/>
      <c r="R74" s="114" t="n"/>
      <c r="S74" s="18">
        <f>J74+M74+P74</f>
        <v/>
      </c>
      <c r="T74" s="115" t="n">
        <v>415.8</v>
      </c>
      <c r="U74" s="116">
        <f>L74+O74+R74</f>
        <v/>
      </c>
      <c r="V74" s="86">
        <f>G74+S74</f>
        <v/>
      </c>
      <c r="W74" s="115">
        <f>X74/V74</f>
        <v/>
      </c>
      <c r="X74" s="87">
        <f>I74+U74</f>
        <v/>
      </c>
    </row>
    <row r="75" ht="14.25" customHeight="1" s="3">
      <c r="A75" s="6" t="n">
        <v>73</v>
      </c>
      <c r="B75" s="103" t="inlineStr">
        <is>
          <t>010121</t>
        </is>
      </c>
      <c r="C75" s="15" t="inlineStr">
        <is>
          <t>食品类</t>
        </is>
      </c>
      <c r="D75" s="16" t="inlineStr">
        <is>
          <t>小叶酸菜</t>
        </is>
      </c>
      <c r="E75" s="16" t="inlineStr">
        <is>
          <t>1Kg/包*12包/件</t>
        </is>
      </c>
      <c r="F75" s="16" t="inlineStr">
        <is>
          <t>件</t>
        </is>
      </c>
      <c r="G75" s="13" t="n">
        <v>0.416666666666667</v>
      </c>
      <c r="H75" s="17" t="n">
        <v>195.3</v>
      </c>
      <c r="I75" s="13" t="n">
        <v>81.375</v>
      </c>
      <c r="J75" s="42" t="n"/>
      <c r="K75" s="42" t="n"/>
      <c r="L75" s="117" t="n"/>
      <c r="M75" s="82" t="n"/>
      <c r="N75" s="82" t="n"/>
      <c r="O75" s="113" t="n"/>
      <c r="P75" s="84" t="n"/>
      <c r="Q75" s="84" t="n"/>
      <c r="R75" s="114" t="n"/>
      <c r="S75" s="18">
        <f>J75+M75+P75</f>
        <v/>
      </c>
      <c r="T75" s="115" t="n">
        <v>195.3</v>
      </c>
      <c r="U75" s="116">
        <f>L75+O75+R75</f>
        <v/>
      </c>
      <c r="V75" s="86">
        <f>G75+S75</f>
        <v/>
      </c>
      <c r="W75" s="115">
        <f>X75/V75</f>
        <v/>
      </c>
      <c r="X75" s="87">
        <f>I75+U75</f>
        <v/>
      </c>
    </row>
    <row r="76" ht="14.25" customHeight="1" s="3">
      <c r="A76" s="6" t="n">
        <v>74</v>
      </c>
      <c r="B76" s="103" t="inlineStr">
        <is>
          <t>010180</t>
        </is>
      </c>
      <c r="C76" s="15" t="inlineStr">
        <is>
          <t>食品类</t>
        </is>
      </c>
      <c r="D76" s="16" t="inlineStr">
        <is>
          <t>西米</t>
        </is>
      </c>
      <c r="E76" s="16" t="inlineStr">
        <is>
          <t>900g/瓶*12瓶/件</t>
        </is>
      </c>
      <c r="F76" s="16" t="inlineStr">
        <is>
          <t>瓶</t>
        </is>
      </c>
      <c r="G76" s="13" t="n">
        <v>0</v>
      </c>
      <c r="H76" s="17" t="n">
        <v>16.275</v>
      </c>
      <c r="I76" s="13" t="n">
        <v>0</v>
      </c>
      <c r="J76" s="42" t="n"/>
      <c r="K76" s="42" t="n"/>
      <c r="L76" s="117" t="n"/>
      <c r="M76" s="82" t="n"/>
      <c r="N76" s="82" t="n"/>
      <c r="O76" s="113" t="n"/>
      <c r="P76" s="84" t="n"/>
      <c r="Q76" s="84" t="n"/>
      <c r="R76" s="114" t="n"/>
      <c r="S76" s="18">
        <f>J76+M76+P76</f>
        <v/>
      </c>
      <c r="T76" s="115" t="n">
        <v>16.275</v>
      </c>
      <c r="U76" s="116">
        <f>L76+O76+R76</f>
        <v/>
      </c>
      <c r="V76" s="86">
        <f>G76+S76</f>
        <v/>
      </c>
      <c r="W76" s="115">
        <f>X76/V76</f>
        <v/>
      </c>
      <c r="X76" s="87">
        <f>I76+U76</f>
        <v/>
      </c>
    </row>
    <row r="77" ht="14.25" customHeight="1" s="3">
      <c r="A77" s="6" t="n">
        <v>75</v>
      </c>
      <c r="B77" s="103" t="inlineStr">
        <is>
          <t>010233</t>
        </is>
      </c>
      <c r="C77" s="15" t="inlineStr">
        <is>
          <t>食品类</t>
        </is>
      </c>
      <c r="D77" s="16" t="inlineStr">
        <is>
          <t>红西柚果粒</t>
        </is>
      </c>
      <c r="E77" s="16" t="inlineStr">
        <is>
          <t>950g/瓶*15瓶/件</t>
        </is>
      </c>
      <c r="F77" s="16" t="inlineStr">
        <is>
          <t>瓶</t>
        </is>
      </c>
      <c r="G77" s="13" t="n">
        <v>0</v>
      </c>
      <c r="H77" s="17" t="n">
        <v>27.3</v>
      </c>
      <c r="I77" s="13" t="n">
        <v>0</v>
      </c>
      <c r="J77" s="42" t="n"/>
      <c r="K77" s="42" t="n"/>
      <c r="L77" s="117" t="n"/>
      <c r="M77" s="82" t="n"/>
      <c r="N77" s="82" t="n"/>
      <c r="O77" s="113" t="n"/>
      <c r="P77" s="84" t="n"/>
      <c r="Q77" s="84" t="n"/>
      <c r="R77" s="114" t="n"/>
      <c r="S77" s="18">
        <f>J77+M77+P77</f>
        <v/>
      </c>
      <c r="T77" s="115" t="n">
        <v>27.3</v>
      </c>
      <c r="U77" s="116">
        <f>L77+O77+R77</f>
        <v/>
      </c>
      <c r="V77" s="86">
        <f>G77+S77</f>
        <v/>
      </c>
      <c r="W77" s="115">
        <f>X77/V77</f>
        <v/>
      </c>
      <c r="X77" s="87">
        <f>I77+U77</f>
        <v/>
      </c>
    </row>
    <row r="78" ht="14.25" customHeight="1" s="3">
      <c r="A78" s="6" t="n">
        <v>76</v>
      </c>
      <c r="B78" s="103" t="inlineStr">
        <is>
          <t>010168</t>
        </is>
      </c>
      <c r="C78" s="15" t="inlineStr">
        <is>
          <t>食品类</t>
        </is>
      </c>
      <c r="D78" s="16" t="inlineStr">
        <is>
          <t>冷冻芒果汁</t>
        </is>
      </c>
      <c r="E78" s="16" t="inlineStr">
        <is>
          <t>240ML/瓶*24瓶/件</t>
        </is>
      </c>
      <c r="F78" s="16" t="inlineStr">
        <is>
          <t>瓶</t>
        </is>
      </c>
      <c r="G78" s="13" t="n">
        <v>0</v>
      </c>
      <c r="H78" s="17" t="n">
        <v>22</v>
      </c>
      <c r="I78" s="13" t="n">
        <v>0</v>
      </c>
      <c r="J78" s="42" t="n"/>
      <c r="K78" s="42" t="n"/>
      <c r="L78" s="117" t="n"/>
      <c r="M78" s="82" t="n"/>
      <c r="N78" s="82" t="n"/>
      <c r="O78" s="113" t="n"/>
      <c r="P78" s="84" t="n"/>
      <c r="Q78" s="84" t="n"/>
      <c r="R78" s="114" t="n"/>
      <c r="S78" s="18">
        <f>J78+M78+P78</f>
        <v/>
      </c>
      <c r="T78" s="115" t="n">
        <v>22</v>
      </c>
      <c r="U78" s="116">
        <f>L78+O78+R78</f>
        <v/>
      </c>
      <c r="V78" s="86">
        <f>G78+S78</f>
        <v/>
      </c>
      <c r="W78" s="115">
        <f>X78/V78</f>
        <v/>
      </c>
      <c r="X78" s="87">
        <f>I78+U78</f>
        <v/>
      </c>
    </row>
    <row r="79" ht="14.25" customHeight="1" s="3">
      <c r="A79" s="6" t="n">
        <v>77</v>
      </c>
      <c r="B79" s="103" t="inlineStr">
        <is>
          <t>010022</t>
        </is>
      </c>
      <c r="C79" s="15" t="inlineStr">
        <is>
          <t>食品类</t>
        </is>
      </c>
      <c r="D79" s="16" t="inlineStr">
        <is>
          <t>聊撇杨梅汁</t>
        </is>
      </c>
      <c r="E79" s="16" t="inlineStr">
        <is>
          <t>950g/瓶*15瓶/件</t>
        </is>
      </c>
      <c r="F79" s="16" t="inlineStr">
        <is>
          <t>件</t>
        </is>
      </c>
      <c r="G79" s="90" t="n">
        <v>0</v>
      </c>
      <c r="H79" s="17" t="n">
        <v>0</v>
      </c>
      <c r="I79" s="13" t="n">
        <v>0</v>
      </c>
      <c r="J79" s="42" t="n"/>
      <c r="K79" s="42" t="n"/>
      <c r="L79" s="117" t="n"/>
      <c r="M79" s="82" t="n"/>
      <c r="N79" s="82" t="n"/>
      <c r="O79" s="113" t="n"/>
      <c r="P79" s="84" t="n"/>
      <c r="Q79" s="84" t="n"/>
      <c r="R79" s="114" t="n"/>
      <c r="S79" s="18">
        <f>J79+M79+P79</f>
        <v/>
      </c>
      <c r="T79" s="115" t="n">
        <v>0</v>
      </c>
      <c r="U79" s="116">
        <f>L79+O79+R79</f>
        <v/>
      </c>
      <c r="V79" s="86">
        <f>G79+S79</f>
        <v/>
      </c>
      <c r="W79" s="115">
        <f>X79/V79</f>
        <v/>
      </c>
      <c r="X79" s="87">
        <f>I79+U79</f>
        <v/>
      </c>
    </row>
    <row r="80" ht="14.25" customHeight="1" s="3">
      <c r="A80" s="6" t="n">
        <v>78</v>
      </c>
      <c r="B80" s="103" t="inlineStr">
        <is>
          <t>010232</t>
        </is>
      </c>
      <c r="C80" s="15" t="inlineStr">
        <is>
          <t>食品类</t>
        </is>
      </c>
      <c r="D80" s="16" t="inlineStr">
        <is>
          <t>猪肉卷章</t>
        </is>
      </c>
      <c r="E80" s="16" t="inlineStr">
        <is>
          <t>500g/包*20包/件</t>
        </is>
      </c>
      <c r="F80" s="16" t="inlineStr">
        <is>
          <t>件</t>
        </is>
      </c>
      <c r="G80" s="13" t="n">
        <v>0.1</v>
      </c>
      <c r="H80" s="17" t="n">
        <v>378</v>
      </c>
      <c r="I80" s="13" t="n">
        <v>37.8</v>
      </c>
      <c r="J80" s="42" t="n"/>
      <c r="K80" s="42" t="n"/>
      <c r="L80" s="117" t="n"/>
      <c r="M80" s="82" t="n"/>
      <c r="N80" s="82" t="n"/>
      <c r="O80" s="113" t="n"/>
      <c r="P80" s="84" t="n"/>
      <c r="Q80" s="84" t="n"/>
      <c r="R80" s="114" t="n"/>
      <c r="S80" s="18">
        <f>J80+M80+P80</f>
        <v/>
      </c>
      <c r="T80" s="115" t="n">
        <v>378</v>
      </c>
      <c r="U80" s="116">
        <f>L80+O80+R80</f>
        <v/>
      </c>
      <c r="V80" s="86">
        <f>G80+S80</f>
        <v/>
      </c>
      <c r="W80" s="115">
        <f>X80/V80</f>
        <v/>
      </c>
      <c r="X80" s="87">
        <f>I80+U80</f>
        <v/>
      </c>
    </row>
    <row r="81" ht="14.25" customHeight="1" s="3">
      <c r="A81" s="6" t="n">
        <v>79</v>
      </c>
      <c r="B81" s="103" t="inlineStr">
        <is>
          <t>010191</t>
        </is>
      </c>
      <c r="C81" s="15" t="inlineStr">
        <is>
          <t>食品类</t>
        </is>
      </c>
      <c r="D81" s="16" t="inlineStr">
        <is>
          <t>脆皮豆腐</t>
        </is>
      </c>
      <c r="E81" s="16" t="inlineStr">
        <is>
          <t>1Kg/包*4包/件</t>
        </is>
      </c>
      <c r="F81" s="16" t="inlineStr">
        <is>
          <t>包</t>
        </is>
      </c>
      <c r="G81" s="13" t="n">
        <v>0</v>
      </c>
      <c r="H81" s="17" t="n">
        <v>0</v>
      </c>
      <c r="I81" s="13" t="n">
        <v>0</v>
      </c>
      <c r="J81" s="42" t="n"/>
      <c r="K81" s="42" t="n"/>
      <c r="L81" s="117" t="n"/>
      <c r="M81" s="82" t="n"/>
      <c r="N81" s="82" t="n"/>
      <c r="O81" s="113" t="n"/>
      <c r="P81" s="84" t="n"/>
      <c r="Q81" s="84" t="n"/>
      <c r="R81" s="114" t="n"/>
      <c r="S81" s="18">
        <f>J81+M81+P81</f>
        <v/>
      </c>
      <c r="T81" s="115" t="n">
        <v>0</v>
      </c>
      <c r="U81" s="116">
        <f>L81+O81+R81</f>
        <v/>
      </c>
      <c r="V81" s="86">
        <f>G81+S81</f>
        <v/>
      </c>
      <c r="W81" s="115">
        <f>X81/V81</f>
        <v/>
      </c>
      <c r="X81" s="87">
        <f>I81+U81</f>
        <v/>
      </c>
    </row>
    <row r="82" ht="16.5" customHeight="1" s="3">
      <c r="A82" s="6" t="n">
        <v>80</v>
      </c>
      <c r="B82" s="104" t="inlineStr">
        <is>
          <t>010161</t>
        </is>
      </c>
      <c r="C82" s="13" t="inlineStr">
        <is>
          <t>食品类</t>
        </is>
      </c>
      <c r="D82" s="22" t="inlineStr">
        <is>
          <t>双皮奶粉</t>
        </is>
      </c>
      <c r="E82" s="16" t="n"/>
      <c r="F82" s="21" t="inlineStr">
        <is>
          <t>包</t>
        </is>
      </c>
      <c r="G82" s="13" t="n">
        <v>3</v>
      </c>
      <c r="H82" s="17" t="n">
        <v>38.85</v>
      </c>
      <c r="I82" s="13" t="n">
        <v>116.55</v>
      </c>
      <c r="J82" s="42" t="n"/>
      <c r="K82" s="42" t="n"/>
      <c r="L82" s="117" t="n"/>
      <c r="M82" s="82" t="n"/>
      <c r="N82" s="82" t="n"/>
      <c r="O82" s="113" t="n"/>
      <c r="P82" s="84" t="n"/>
      <c r="Q82" s="84" t="n"/>
      <c r="R82" s="114" t="n"/>
      <c r="S82" s="18">
        <f>J82+M82+P82</f>
        <v/>
      </c>
      <c r="T82" s="115" t="n">
        <v>38.85</v>
      </c>
      <c r="U82" s="116">
        <f>L82+O82+R82</f>
        <v/>
      </c>
      <c r="V82" s="86">
        <f>G82+S82</f>
        <v/>
      </c>
      <c r="W82" s="115">
        <f>X82/V82</f>
        <v/>
      </c>
      <c r="X82" s="87">
        <f>I82+U82</f>
        <v/>
      </c>
    </row>
    <row r="83" ht="16.5" customHeight="1" s="3">
      <c r="A83" s="6" t="n">
        <v>81</v>
      </c>
      <c r="B83" s="105" t="inlineStr">
        <is>
          <t>010229</t>
        </is>
      </c>
      <c r="C83" s="13" t="inlineStr">
        <is>
          <t>食品类</t>
        </is>
      </c>
      <c r="D83" s="22" t="inlineStr">
        <is>
          <t>新香辣脆</t>
        </is>
      </c>
      <c r="E83" s="16" t="n"/>
      <c r="F83" s="21" t="inlineStr">
        <is>
          <t>包</t>
        </is>
      </c>
      <c r="G83" s="13" t="n">
        <v>10</v>
      </c>
      <c r="H83" s="17" t="n">
        <v>54.81</v>
      </c>
      <c r="I83" s="13" t="n">
        <v>548.1</v>
      </c>
      <c r="J83" s="42" t="n"/>
      <c r="K83" s="42" t="n"/>
      <c r="L83" s="81" t="n"/>
      <c r="M83" s="82" t="n"/>
      <c r="N83" s="82" t="n"/>
      <c r="O83" s="113" t="n"/>
      <c r="P83" s="84" t="n">
        <v>4</v>
      </c>
      <c r="Q83" s="84" t="n">
        <v>54.81</v>
      </c>
      <c r="R83" s="114" t="n">
        <v>219.24</v>
      </c>
      <c r="S83" s="18">
        <f>J83+M83+P83</f>
        <v/>
      </c>
      <c r="T83" s="115" t="n">
        <v>54.81</v>
      </c>
      <c r="U83" s="116">
        <f>L83+O83+R83</f>
        <v/>
      </c>
      <c r="V83" s="86">
        <f>G83+S83</f>
        <v/>
      </c>
      <c r="W83" s="115">
        <f>X83/V83</f>
        <v/>
      </c>
      <c r="X83" s="87">
        <f>I83+U83</f>
        <v/>
      </c>
    </row>
    <row r="84" ht="14.25" customHeight="1" s="3">
      <c r="A84" s="6" t="n">
        <v>82</v>
      </c>
      <c r="B84" s="103" t="inlineStr">
        <is>
          <t>010235</t>
        </is>
      </c>
      <c r="C84" s="15" t="inlineStr">
        <is>
          <t>食品类</t>
        </is>
      </c>
      <c r="D84" s="15" t="inlineStr">
        <is>
          <t>油豆腐片</t>
        </is>
      </c>
      <c r="E84" s="25" t="inlineStr">
        <is>
          <t>1.5kg/包*10包/件</t>
        </is>
      </c>
      <c r="F84" s="15" t="inlineStr">
        <is>
          <t>件[1件=10包]</t>
        </is>
      </c>
      <c r="G84" s="13" t="n">
        <v>0.2</v>
      </c>
      <c r="H84" s="17" t="n">
        <v>399</v>
      </c>
      <c r="I84" s="13" t="n">
        <v>79.8</v>
      </c>
      <c r="J84" s="42" t="n"/>
      <c r="K84" s="42" t="n"/>
      <c r="L84" s="117" t="n"/>
      <c r="M84" s="82" t="n"/>
      <c r="N84" s="82" t="n"/>
      <c r="O84" s="113" t="n"/>
      <c r="P84" s="84" t="n"/>
      <c r="Q84" s="84" t="n"/>
      <c r="R84" s="114" t="n"/>
      <c r="S84" s="18">
        <f>J84+M84+P84</f>
        <v/>
      </c>
      <c r="T84" s="115" t="n">
        <v>399</v>
      </c>
      <c r="U84" s="116">
        <f>L84+O84+R84</f>
        <v/>
      </c>
      <c r="V84" s="86">
        <f>G84+S84</f>
        <v/>
      </c>
      <c r="W84" s="115">
        <f>X84/V84</f>
        <v/>
      </c>
      <c r="X84" s="87">
        <f>I84+U84</f>
        <v/>
      </c>
    </row>
    <row r="85">
      <c r="A85" s="6" t="n">
        <v>83</v>
      </c>
      <c r="B85" s="106" t="inlineStr">
        <is>
          <t>010237</t>
        </is>
      </c>
      <c r="C85" s="13" t="inlineStr">
        <is>
          <t>食品类</t>
        </is>
      </c>
      <c r="D85" s="26" t="inlineStr">
        <is>
          <t>免浆黑鱼片（无刺）</t>
        </is>
      </c>
      <c r="E85" s="26" t="inlineStr">
        <is>
          <t>500g/包*20包/件</t>
        </is>
      </c>
      <c r="F85" s="26" t="inlineStr">
        <is>
          <t>件[1件=20包]</t>
        </is>
      </c>
      <c r="G85" s="13" t="n">
        <v>1.7</v>
      </c>
      <c r="H85" s="17" t="n">
        <v>472.5</v>
      </c>
      <c r="I85" s="13" t="n">
        <v>803.25</v>
      </c>
      <c r="J85" s="42" t="n">
        <v>1</v>
      </c>
      <c r="K85" s="42" t="n">
        <v>472.5</v>
      </c>
      <c r="L85" s="117" t="n">
        <v>472.5</v>
      </c>
      <c r="M85" s="82" t="n">
        <v>1</v>
      </c>
      <c r="N85" s="82" t="n">
        <v>472.5</v>
      </c>
      <c r="O85" s="113" t="n">
        <v>472.5</v>
      </c>
      <c r="P85" s="84" t="n">
        <v>1</v>
      </c>
      <c r="Q85" s="84" t="n">
        <v>472.5</v>
      </c>
      <c r="R85" s="114" t="n">
        <v>472.5</v>
      </c>
      <c r="S85" s="18">
        <f>J85+M85+P85</f>
        <v/>
      </c>
      <c r="T85" s="115" t="n">
        <v>472.5</v>
      </c>
      <c r="U85" s="116">
        <f>L85+O85+R85</f>
        <v/>
      </c>
      <c r="V85" s="86">
        <f>G85+S85</f>
        <v/>
      </c>
      <c r="W85" s="115">
        <f>X85/V85</f>
        <v/>
      </c>
      <c r="X85" s="87">
        <f>I85+U85</f>
        <v/>
      </c>
    </row>
    <row r="86" ht="27" customHeight="1" s="3">
      <c r="A86" s="6" t="n">
        <v>84</v>
      </c>
      <c r="B86" s="92" t="inlineStr">
        <is>
          <t>010241</t>
        </is>
      </c>
      <c r="C86" s="13" t="inlineStr">
        <is>
          <t>食品类</t>
        </is>
      </c>
      <c r="D86" s="26" t="inlineStr">
        <is>
          <t>黑芝麻糊</t>
        </is>
      </c>
      <c r="E86" s="26" t="inlineStr">
        <is>
          <t>50g/小包*20包/袋*5袋/件</t>
        </is>
      </c>
      <c r="F86" s="26" t="inlineStr">
        <is>
          <t>袋</t>
        </is>
      </c>
      <c r="G86" s="13" t="n">
        <v>0</v>
      </c>
      <c r="H86" s="17" t="n">
        <v>10.08</v>
      </c>
      <c r="I86" s="13" t="n">
        <v>0</v>
      </c>
      <c r="J86" s="42" t="n"/>
      <c r="K86" s="42" t="n"/>
      <c r="L86" s="117" t="n"/>
      <c r="M86" s="82" t="n"/>
      <c r="N86" s="82" t="n"/>
      <c r="O86" s="113" t="n"/>
      <c r="P86" s="84" t="n"/>
      <c r="Q86" s="84" t="n"/>
      <c r="R86" s="114" t="n"/>
      <c r="S86" s="18">
        <f>J86+M86+P86</f>
        <v/>
      </c>
      <c r="T86" s="115" t="n">
        <v>10.08</v>
      </c>
      <c r="U86" s="116">
        <f>L86+O86+R86</f>
        <v/>
      </c>
      <c r="V86" s="86">
        <f>G86+S86</f>
        <v/>
      </c>
      <c r="W86" s="115">
        <f>X86/V86</f>
        <v/>
      </c>
      <c r="X86" s="87">
        <f>I86+U86</f>
        <v/>
      </c>
    </row>
    <row r="87">
      <c r="A87" s="6" t="n">
        <v>85</v>
      </c>
      <c r="B87" s="13" t="inlineStr">
        <is>
          <t>010240</t>
        </is>
      </c>
      <c r="C87" s="13" t="inlineStr">
        <is>
          <t>食品类</t>
        </is>
      </c>
      <c r="D87" s="26" t="inlineStr">
        <is>
          <t>香锅调味料A+B</t>
        </is>
      </c>
      <c r="E87" s="26" t="inlineStr">
        <is>
          <t>11包*1550g/件</t>
        </is>
      </c>
      <c r="F87" s="26" t="inlineStr">
        <is>
          <t>包</t>
        </is>
      </c>
      <c r="G87" s="13" t="n">
        <v>9</v>
      </c>
      <c r="H87" s="17" t="n">
        <v>70.875</v>
      </c>
      <c r="I87" s="13" t="n">
        <v>637.875</v>
      </c>
      <c r="J87" s="42" t="n"/>
      <c r="K87" s="42" t="n"/>
      <c r="L87" s="117" t="n"/>
      <c r="M87" s="82" t="n"/>
      <c r="N87" s="82" t="n"/>
      <c r="O87" s="113" t="n"/>
      <c r="P87" s="84" t="n"/>
      <c r="Q87" s="84" t="n"/>
      <c r="R87" s="114" t="n"/>
      <c r="S87" s="18">
        <f>J87+M87+P87</f>
        <v/>
      </c>
      <c r="T87" s="115" t="n">
        <v>70.875</v>
      </c>
      <c r="U87" s="116">
        <f>L87+O87+R87</f>
        <v/>
      </c>
      <c r="V87" s="86">
        <f>G87+S87</f>
        <v/>
      </c>
      <c r="W87" s="115">
        <f>X87/V87</f>
        <v/>
      </c>
      <c r="X87" s="87">
        <f>I87+U87</f>
        <v/>
      </c>
    </row>
    <row r="88">
      <c r="A88" s="6" t="n">
        <v>86</v>
      </c>
      <c r="B88" s="13" t="inlineStr">
        <is>
          <t>010239</t>
        </is>
      </c>
      <c r="C88" s="13" t="inlineStr">
        <is>
          <t>食品类</t>
        </is>
      </c>
      <c r="D88" s="26" t="inlineStr">
        <is>
          <t>辣子鸡丁</t>
        </is>
      </c>
      <c r="E88" s="26" t="inlineStr">
        <is>
          <t>1kg*10包/件</t>
        </is>
      </c>
      <c r="F88" s="26" t="inlineStr">
        <is>
          <t>件[1件=10包]</t>
        </is>
      </c>
      <c r="G88" s="13" t="n">
        <v>0.5</v>
      </c>
      <c r="H88" s="17" t="n">
        <v>420</v>
      </c>
      <c r="I88" s="13" t="n">
        <v>210</v>
      </c>
      <c r="J88" s="42" t="n">
        <v>1</v>
      </c>
      <c r="K88" s="42" t="n">
        <v>420</v>
      </c>
      <c r="L88" s="117" t="n">
        <v>420</v>
      </c>
      <c r="M88" s="82" t="n">
        <v>1</v>
      </c>
      <c r="N88" s="82" t="n">
        <v>420</v>
      </c>
      <c r="O88" s="113" t="n">
        <v>420</v>
      </c>
      <c r="P88" s="84" t="n"/>
      <c r="Q88" s="84" t="n"/>
      <c r="R88" s="114" t="n"/>
      <c r="S88" s="18">
        <f>J88+M88+P88</f>
        <v/>
      </c>
      <c r="T88" s="115" t="n">
        <v>420</v>
      </c>
      <c r="U88" s="116">
        <f>L88+O88+R88</f>
        <v/>
      </c>
      <c r="V88" s="86">
        <f>G88+S88</f>
        <v/>
      </c>
      <c r="W88" s="115">
        <f>X88/V88</f>
        <v/>
      </c>
      <c r="X88" s="87">
        <f>I88+U88</f>
        <v/>
      </c>
    </row>
    <row r="89">
      <c r="A89" s="6" t="n">
        <v>87</v>
      </c>
      <c r="B89" s="13" t="inlineStr">
        <is>
          <t>020067</t>
        </is>
      </c>
      <c r="C89" s="13" t="inlineStr">
        <is>
          <t>易耗品</t>
        </is>
      </c>
      <c r="D89" s="26" t="inlineStr">
        <is>
          <t>铝制方木座</t>
        </is>
      </c>
      <c r="E89" s="26" t="n"/>
      <c r="F89" s="26" t="inlineStr">
        <is>
          <t>个</t>
        </is>
      </c>
      <c r="G89" s="13" t="n">
        <v>0</v>
      </c>
      <c r="H89" s="17" t="n">
        <v>28.35</v>
      </c>
      <c r="I89" s="13" t="n">
        <v>0</v>
      </c>
      <c r="J89" s="42" t="n"/>
      <c r="K89" s="42" t="n"/>
      <c r="L89" s="117" t="n"/>
      <c r="M89" s="82" t="n"/>
      <c r="N89" s="82" t="n"/>
      <c r="O89" s="113" t="n"/>
      <c r="P89" s="84" t="n"/>
      <c r="Q89" s="84" t="n"/>
      <c r="R89" s="114" t="n"/>
      <c r="S89" s="18">
        <f>J89+M89+P89</f>
        <v/>
      </c>
      <c r="T89" s="115" t="n">
        <v>28.35</v>
      </c>
      <c r="U89" s="116">
        <f>L89+O89+R89</f>
        <v/>
      </c>
      <c r="V89" s="86">
        <f>G89+S89</f>
        <v/>
      </c>
      <c r="W89" s="115">
        <f>X89/V89</f>
        <v/>
      </c>
      <c r="X89" s="87">
        <f>I89+U89</f>
        <v/>
      </c>
    </row>
    <row r="90">
      <c r="A90" s="6" t="n">
        <v>88</v>
      </c>
      <c r="B90" s="13" t="inlineStr">
        <is>
          <t>010238</t>
        </is>
      </c>
      <c r="C90" s="13" t="inlineStr">
        <is>
          <t>食品类</t>
        </is>
      </c>
      <c r="D90" s="26" t="inlineStr">
        <is>
          <t>粉小主汤底调味粉</t>
        </is>
      </c>
      <c r="E90" s="26" t="inlineStr">
        <is>
          <t>1073g/包*10包/件</t>
        </is>
      </c>
      <c r="F90" s="26" t="inlineStr">
        <is>
          <t>件[1件=10包]</t>
        </is>
      </c>
      <c r="G90" s="13" t="n">
        <v>11</v>
      </c>
      <c r="H90" s="17" t="n">
        <v>525</v>
      </c>
      <c r="I90" s="13" t="n">
        <v>5775</v>
      </c>
      <c r="J90" s="42" t="n">
        <v>2</v>
      </c>
      <c r="K90" s="42" t="n">
        <v>525</v>
      </c>
      <c r="L90" s="117" t="n">
        <v>1050</v>
      </c>
      <c r="M90" s="82" t="n">
        <v>4</v>
      </c>
      <c r="N90" s="82" t="n">
        <v>525</v>
      </c>
      <c r="O90" s="113" t="n">
        <v>2100</v>
      </c>
      <c r="P90" s="84" t="n"/>
      <c r="Q90" s="84" t="n"/>
      <c r="R90" s="114" t="n"/>
      <c r="S90" s="18">
        <f>J90+M90+P90</f>
        <v/>
      </c>
      <c r="T90" s="115" t="n">
        <v>525</v>
      </c>
      <c r="U90" s="116">
        <f>L90+O90+R90</f>
        <v/>
      </c>
      <c r="V90" s="86">
        <f>G90+S90</f>
        <v/>
      </c>
      <c r="W90" s="115">
        <f>X90/V90</f>
        <v/>
      </c>
      <c r="X90" s="87">
        <f>I90+U90</f>
        <v/>
      </c>
    </row>
    <row r="91" ht="16.5" customHeight="1" s="3">
      <c r="A91" s="6" t="n">
        <v>89</v>
      </c>
      <c r="B91" s="27" t="inlineStr">
        <is>
          <t>010243</t>
        </is>
      </c>
      <c r="C91" s="27" t="inlineStr">
        <is>
          <t>食品类</t>
        </is>
      </c>
      <c r="D91" s="27" t="inlineStr">
        <is>
          <t>豆腐丸子（新升级）</t>
        </is>
      </c>
      <c r="E91" s="27" t="inlineStr">
        <is>
          <t>500克/包*12包/件</t>
        </is>
      </c>
      <c r="F91" s="27" t="inlineStr">
        <is>
          <t>件[1件=12包]</t>
        </is>
      </c>
      <c r="G91" s="13" t="n">
        <v>4.66666666666667</v>
      </c>
      <c r="H91" s="17" t="n">
        <v>207.9</v>
      </c>
      <c r="I91" s="13" t="n">
        <v>970.2</v>
      </c>
      <c r="J91" s="42" t="n"/>
      <c r="K91" s="42" t="n"/>
      <c r="L91" s="117" t="n"/>
      <c r="M91" s="82" t="n">
        <v>3</v>
      </c>
      <c r="N91" s="82" t="n">
        <v>207.9</v>
      </c>
      <c r="O91" s="113" t="n">
        <v>623.7</v>
      </c>
      <c r="P91" s="84" t="n">
        <v>2</v>
      </c>
      <c r="Q91" s="84" t="n">
        <v>207.9</v>
      </c>
      <c r="R91" s="114" t="n">
        <v>415.8</v>
      </c>
      <c r="S91" s="18">
        <f>J91+M91+P91</f>
        <v/>
      </c>
      <c r="T91" s="115" t="n">
        <v>207.9</v>
      </c>
      <c r="U91" s="116">
        <f>L91+O91+R91</f>
        <v/>
      </c>
      <c r="V91" s="86">
        <f>G91+S91</f>
        <v/>
      </c>
      <c r="W91" s="115">
        <f>X91/V91</f>
        <v/>
      </c>
      <c r="X91" s="87">
        <f>I91+U91</f>
        <v/>
      </c>
    </row>
    <row r="92" ht="16.5" customHeight="1" s="3">
      <c r="A92" s="6" t="n">
        <v>90</v>
      </c>
      <c r="B92" s="21" t="inlineStr">
        <is>
          <t>030029</t>
        </is>
      </c>
      <c r="C92" s="13" t="inlineStr">
        <is>
          <t>易耗品</t>
        </is>
      </c>
      <c r="D92" s="21" t="inlineStr">
        <is>
          <t>粉小主白色汤粉餐盒（1350毫升）</t>
        </is>
      </c>
      <c r="E92" s="22" t="inlineStr">
        <is>
          <t>300个/件</t>
        </is>
      </c>
      <c r="F92" s="22" t="inlineStr">
        <is>
          <t>件[1件=300个]</t>
        </is>
      </c>
      <c r="G92" s="13" t="n">
        <v>3</v>
      </c>
      <c r="H92" s="17" t="n">
        <v>220.5</v>
      </c>
      <c r="I92" s="13" t="n">
        <v>661.5</v>
      </c>
      <c r="J92" s="42" t="n"/>
      <c r="K92" s="42" t="n"/>
      <c r="L92" s="117" t="n"/>
      <c r="M92" s="82" t="n">
        <v>3</v>
      </c>
      <c r="N92" s="82" t="n">
        <v>220.5</v>
      </c>
      <c r="O92" s="113" t="n">
        <v>661.5</v>
      </c>
      <c r="P92" s="84" t="n">
        <v>2</v>
      </c>
      <c r="Q92" s="84" t="n">
        <v>220.5</v>
      </c>
      <c r="R92" s="114" t="n">
        <v>441</v>
      </c>
      <c r="S92" s="18">
        <f>J92+M92+P92</f>
        <v/>
      </c>
      <c r="T92" s="115" t="n">
        <v>220.5</v>
      </c>
      <c r="U92" s="116">
        <f>L92+O92+R92</f>
        <v/>
      </c>
      <c r="V92" s="86">
        <f>G92+S92</f>
        <v/>
      </c>
      <c r="W92" s="115">
        <f>X92/V92</f>
        <v/>
      </c>
      <c r="X92" s="87">
        <f>I92+U92</f>
        <v/>
      </c>
    </row>
    <row r="93" ht="16.5" customHeight="1" s="3">
      <c r="A93" s="6" t="n">
        <v>91</v>
      </c>
      <c r="B93" s="27" t="inlineStr">
        <is>
          <t>010214</t>
        </is>
      </c>
      <c r="C93" s="27" t="inlineStr">
        <is>
          <t>食品类</t>
        </is>
      </c>
      <c r="D93" s="27" t="inlineStr">
        <is>
          <t>香辣孜然撒料</t>
        </is>
      </c>
      <c r="E93" s="27" t="inlineStr">
        <is>
          <t>1kg/包*10包/件</t>
        </is>
      </c>
      <c r="F93" s="27" t="inlineStr">
        <is>
          <t>包</t>
        </is>
      </c>
      <c r="G93" s="13" t="n">
        <v>0</v>
      </c>
      <c r="H93" s="17" t="n">
        <v>50.4</v>
      </c>
      <c r="I93" s="13" t="n">
        <v>0</v>
      </c>
      <c r="J93" s="42" t="n"/>
      <c r="K93" s="42" t="n"/>
      <c r="L93" s="117" t="n"/>
      <c r="M93" s="82" t="n"/>
      <c r="N93" s="82" t="n"/>
      <c r="O93" s="93" t="n"/>
      <c r="P93" s="84" t="n"/>
      <c r="Q93" s="84" t="n"/>
      <c r="R93" s="114" t="n"/>
      <c r="S93" s="18">
        <f>J93+M93+P93</f>
        <v/>
      </c>
      <c r="T93" s="115" t="n">
        <v>50.4</v>
      </c>
      <c r="U93" s="116">
        <f>L93+O93+R93</f>
        <v/>
      </c>
      <c r="V93" s="86">
        <f>G93+S93</f>
        <v/>
      </c>
      <c r="W93" s="115">
        <f>X93/V93</f>
        <v/>
      </c>
      <c r="X93" s="87">
        <f>I93+U93</f>
        <v/>
      </c>
    </row>
    <row r="94" ht="16.5" customHeight="1" s="3">
      <c r="A94" s="6" t="n">
        <v>92</v>
      </c>
      <c r="B94" s="27" t="inlineStr">
        <is>
          <t>010249</t>
        </is>
      </c>
      <c r="C94" s="13" t="inlineStr">
        <is>
          <t>食品类</t>
        </is>
      </c>
      <c r="D94" s="27" t="inlineStr">
        <is>
          <t>野菜糍粑</t>
        </is>
      </c>
      <c r="E94" s="27" t="inlineStr">
        <is>
          <t>280g/包*20包/件</t>
        </is>
      </c>
      <c r="F94" s="27" t="inlineStr">
        <is>
          <t>件[1件=20包]</t>
        </is>
      </c>
      <c r="G94" s="13" t="n">
        <v>0.5</v>
      </c>
      <c r="H94" s="17" t="n">
        <v>131.25</v>
      </c>
      <c r="I94" s="13" t="n">
        <v>65.625</v>
      </c>
      <c r="J94" s="42" t="n"/>
      <c r="K94" s="42" t="n"/>
      <c r="L94" s="81" t="n"/>
      <c r="M94" s="82" t="n"/>
      <c r="N94" s="82" t="n"/>
      <c r="O94" s="113" t="n"/>
      <c r="P94" s="84" t="n"/>
      <c r="Q94" s="84" t="n"/>
      <c r="R94" s="114" t="n"/>
      <c r="S94" s="18">
        <f>J94+M94+P94</f>
        <v/>
      </c>
      <c r="T94" s="115" t="n">
        <v>131.25</v>
      </c>
      <c r="U94" s="116">
        <f>L94+O94+R94</f>
        <v/>
      </c>
      <c r="V94" s="86">
        <f>G94+S94</f>
        <v/>
      </c>
      <c r="W94" s="115">
        <f>X94/V94</f>
        <v/>
      </c>
      <c r="X94" s="87">
        <f>I94+U94</f>
        <v/>
      </c>
    </row>
    <row r="95" ht="16.5" customHeight="1" s="3">
      <c r="A95" s="6" t="n">
        <v>93</v>
      </c>
      <c r="B95" s="27" t="inlineStr">
        <is>
          <t>010250</t>
        </is>
      </c>
      <c r="C95" s="13" t="inlineStr">
        <is>
          <t>食品类</t>
        </is>
      </c>
      <c r="D95" s="27" t="inlineStr">
        <is>
          <t>五卤龙骨</t>
        </is>
      </c>
      <c r="E95" s="27" t="inlineStr">
        <is>
          <t>1kg/包*12包</t>
        </is>
      </c>
      <c r="F95" s="27" t="inlineStr">
        <is>
          <t>包</t>
        </is>
      </c>
      <c r="G95" s="13" t="n">
        <v>0.4</v>
      </c>
      <c r="H95" s="17" t="n">
        <v>239.4</v>
      </c>
      <c r="I95" s="13" t="n">
        <v>95.76000000000001</v>
      </c>
      <c r="J95" s="42" t="n"/>
      <c r="K95" s="42" t="n"/>
      <c r="L95" s="81" t="n"/>
      <c r="M95" s="82" t="n"/>
      <c r="N95" s="82" t="n"/>
      <c r="O95" s="113" t="n"/>
      <c r="P95" s="84" t="n"/>
      <c r="Q95" s="84" t="n"/>
      <c r="R95" s="114" t="n"/>
      <c r="S95" s="18">
        <f>J95+M95+P95</f>
        <v/>
      </c>
      <c r="T95" s="115" t="n">
        <v>239.4</v>
      </c>
      <c r="U95" s="116">
        <f>L95+O95+R95</f>
        <v/>
      </c>
      <c r="V95" s="86">
        <f>G95+S95</f>
        <v/>
      </c>
      <c r="W95" s="115">
        <f>X95/V95</f>
        <v/>
      </c>
      <c r="X95" s="87">
        <f>I95+U95</f>
        <v/>
      </c>
    </row>
    <row r="96" ht="16.5" customHeight="1" s="3">
      <c r="A96" s="6" t="n">
        <v>94</v>
      </c>
      <c r="B96" s="27" t="inlineStr">
        <is>
          <t>010247</t>
        </is>
      </c>
      <c r="C96" s="13" t="inlineStr">
        <is>
          <t>食品类</t>
        </is>
      </c>
      <c r="D96" s="27" t="inlineStr">
        <is>
          <t>酸奶粉</t>
        </is>
      </c>
      <c r="E96" s="27" t="inlineStr">
        <is>
          <t>1kg/包*20包/件</t>
        </is>
      </c>
      <c r="F96" s="27" t="inlineStr">
        <is>
          <t>1kg/包*20包/件</t>
        </is>
      </c>
      <c r="G96" s="13" t="n">
        <v>1</v>
      </c>
      <c r="H96" s="17" t="n">
        <v>52.5</v>
      </c>
      <c r="I96" s="13" t="n">
        <v>52.5</v>
      </c>
      <c r="J96" s="42" t="n"/>
      <c r="K96" s="42" t="n"/>
      <c r="L96" s="81" t="n"/>
      <c r="M96" s="82" t="n"/>
      <c r="N96" s="82" t="n"/>
      <c r="O96" s="113" t="n"/>
      <c r="P96" s="84" t="n"/>
      <c r="Q96" s="84" t="n"/>
      <c r="R96" s="114" t="n"/>
      <c r="S96" s="18">
        <f>J96+M96+P96</f>
        <v/>
      </c>
      <c r="T96" s="115" t="n">
        <v>52.5</v>
      </c>
      <c r="U96" s="116">
        <f>L96+O96+R96</f>
        <v/>
      </c>
      <c r="V96" s="86">
        <f>G96+S96</f>
        <v/>
      </c>
      <c r="W96" s="115">
        <f>X96/V96</f>
        <v/>
      </c>
      <c r="X96" s="87">
        <f>I96+U96</f>
        <v/>
      </c>
    </row>
    <row r="97" ht="16.5" customHeight="1" s="3">
      <c r="A97" s="6" t="n">
        <v>95</v>
      </c>
      <c r="B97" s="27" t="inlineStr">
        <is>
          <t>010252</t>
        </is>
      </c>
      <c r="C97" s="13" t="inlineStr">
        <is>
          <t>食品类</t>
        </is>
      </c>
      <c r="D97" s="27" t="inlineStr">
        <is>
          <t>蓝莓酱（含果肉）</t>
        </is>
      </c>
      <c r="E97" s="27" t="inlineStr">
        <is>
          <t>1kg/瓶*12瓶/件</t>
        </is>
      </c>
      <c r="F97" s="27" t="inlineStr">
        <is>
          <t>1kg/瓶*12瓶/件</t>
        </is>
      </c>
      <c r="G97" s="13" t="n">
        <v>1</v>
      </c>
      <c r="H97" s="17" t="n">
        <v>44.1</v>
      </c>
      <c r="I97" s="13" t="n">
        <v>44.1</v>
      </c>
      <c r="J97" s="42" t="n"/>
      <c r="K97" s="42" t="n"/>
      <c r="L97" s="81" t="n"/>
      <c r="M97" s="82" t="n"/>
      <c r="N97" s="82" t="n"/>
      <c r="O97" s="113" t="n"/>
      <c r="P97" s="84" t="n"/>
      <c r="Q97" s="84" t="n"/>
      <c r="R97" s="114" t="n"/>
      <c r="S97" s="18">
        <f>J97+M97+P97</f>
        <v/>
      </c>
      <c r="T97" s="115" t="n">
        <v>44.1</v>
      </c>
      <c r="U97" s="116">
        <f>L97+O97+R97</f>
        <v/>
      </c>
      <c r="V97" s="86">
        <f>G97+S97</f>
        <v/>
      </c>
      <c r="W97" s="115">
        <f>X97/V97</f>
        <v/>
      </c>
      <c r="X97" s="87">
        <f>I97+U97</f>
        <v/>
      </c>
    </row>
    <row r="98" ht="16.5" customHeight="1" s="3">
      <c r="A98" s="6" t="n">
        <v>96</v>
      </c>
      <c r="B98" s="107" t="inlineStr">
        <is>
          <t>010253</t>
        </is>
      </c>
      <c r="C98" s="13" t="inlineStr">
        <is>
          <t>食品类</t>
        </is>
      </c>
      <c r="D98" s="27" t="inlineStr">
        <is>
          <t>粉小主三号酱</t>
        </is>
      </c>
      <c r="E98" s="27" t="inlineStr">
        <is>
          <t>800g+250g/包*11包/件</t>
        </is>
      </c>
      <c r="F98" s="27" t="inlineStr">
        <is>
          <t>件[1件=11包]</t>
        </is>
      </c>
      <c r="G98" s="13" t="n">
        <v>0.1</v>
      </c>
      <c r="H98" s="17" t="n">
        <v>404.25</v>
      </c>
      <c r="I98" s="13" t="n">
        <v>40.425</v>
      </c>
      <c r="J98" s="42" t="n"/>
      <c r="K98" s="42" t="n"/>
      <c r="L98" s="81" t="n"/>
      <c r="M98" s="82" t="n"/>
      <c r="N98" s="82" t="n"/>
      <c r="O98" s="113" t="n"/>
      <c r="P98" s="84" t="n"/>
      <c r="Q98" s="84" t="n"/>
      <c r="R98" s="114" t="n"/>
      <c r="S98" s="18">
        <f>J98+M98+P98</f>
        <v/>
      </c>
      <c r="T98" s="115" t="n">
        <v>404.25</v>
      </c>
      <c r="U98" s="116">
        <f>L98+O98+R98</f>
        <v/>
      </c>
      <c r="V98" s="86">
        <f>G98+S98</f>
        <v/>
      </c>
      <c r="W98" s="115">
        <f>X98/V98</f>
        <v/>
      </c>
      <c r="X98" s="87">
        <f>I98+U98</f>
        <v/>
      </c>
    </row>
    <row r="99" ht="16.5" customHeight="1" s="3">
      <c r="A99" s="6" t="n">
        <v>97</v>
      </c>
      <c r="B99" s="107" t="inlineStr">
        <is>
          <t>010256</t>
        </is>
      </c>
      <c r="C99" s="13" t="inlineStr">
        <is>
          <t>食品类</t>
        </is>
      </c>
      <c r="D99" s="28" t="inlineStr">
        <is>
          <t>经典肥牛砖</t>
        </is>
      </c>
      <c r="E99" s="27" t="inlineStr">
        <is>
          <t>24.92kg/件</t>
        </is>
      </c>
      <c r="F99" s="27" t="inlineStr">
        <is>
          <t>件[1件=21块]</t>
        </is>
      </c>
      <c r="G99" s="13" t="n"/>
      <c r="H99" s="17" t="n"/>
      <c r="I99" s="13" t="n"/>
      <c r="J99" s="42" t="n"/>
      <c r="K99" s="42" t="n"/>
      <c r="L99" s="81" t="n"/>
      <c r="M99" s="82" t="n">
        <v>1</v>
      </c>
      <c r="N99" s="82" t="n">
        <v>2234.4</v>
      </c>
      <c r="O99" s="113" t="n">
        <v>2234.4</v>
      </c>
      <c r="P99" s="84" t="n">
        <v>1</v>
      </c>
      <c r="Q99" s="84" t="n">
        <v>2234.4</v>
      </c>
      <c r="R99" s="114" t="n">
        <v>2234.4</v>
      </c>
      <c r="S99" s="18">
        <f>J99+M99+P99</f>
        <v/>
      </c>
      <c r="T99" s="115" t="n">
        <v>2234.4</v>
      </c>
      <c r="U99" s="116">
        <f>L99+O99+R99</f>
        <v/>
      </c>
      <c r="V99" s="86">
        <f>G99+S99</f>
        <v/>
      </c>
      <c r="W99" s="115" t="n">
        <v>2234.4</v>
      </c>
      <c r="X99" s="87">
        <f>I99+U99</f>
        <v/>
      </c>
    </row>
    <row r="100" ht="16.5" customHeight="1" s="3">
      <c r="A100" s="6" t="n">
        <v>98</v>
      </c>
      <c r="B100" s="107" t="inlineStr">
        <is>
          <t>010015</t>
        </is>
      </c>
      <c r="C100" s="13" t="inlineStr">
        <is>
          <t>食品类</t>
        </is>
      </c>
      <c r="D100" s="28" t="inlineStr">
        <is>
          <t>剁椒榨菜丁</t>
        </is>
      </c>
      <c r="E100" s="27" t="inlineStr">
        <is>
          <t>500g/包*20包/件</t>
        </is>
      </c>
      <c r="F100" s="27" t="inlineStr">
        <is>
          <t>件[1件=20包]</t>
        </is>
      </c>
      <c r="G100" s="13" t="n"/>
      <c r="H100" s="17" t="n"/>
      <c r="I100" s="13" t="n"/>
      <c r="J100" s="42" t="n"/>
      <c r="K100" s="42" t="n"/>
      <c r="L100" s="81" t="n"/>
      <c r="M100" s="82" t="n">
        <v>1</v>
      </c>
      <c r="N100" s="82" t="n">
        <v>171.15</v>
      </c>
      <c r="O100" s="113" t="n">
        <v>171.15</v>
      </c>
      <c r="P100" s="84" t="n">
        <v>2</v>
      </c>
      <c r="Q100" s="84" t="n">
        <v>171.15</v>
      </c>
      <c r="R100" s="114" t="n">
        <v>342.3</v>
      </c>
      <c r="S100" s="18">
        <f>J100+M100+P100</f>
        <v/>
      </c>
      <c r="T100" s="115" t="n">
        <v>171.15</v>
      </c>
      <c r="U100" s="116">
        <f>L100+O100+R100</f>
        <v/>
      </c>
      <c r="V100" s="86">
        <f>G100+S100</f>
        <v/>
      </c>
      <c r="W100" s="115" t="n">
        <v>171.15</v>
      </c>
      <c r="X100" s="87">
        <f>I100+U100</f>
        <v/>
      </c>
    </row>
    <row r="101" ht="16.5" customHeight="1" s="3">
      <c r="A101" s="6" t="n"/>
      <c r="B101" s="89" t="n"/>
      <c r="C101" s="6" t="n"/>
      <c r="D101" s="22" t="n"/>
      <c r="E101" s="22" t="n"/>
      <c r="F101" s="22" t="n"/>
      <c r="G101" s="6" t="n"/>
      <c r="H101" s="118" t="n"/>
      <c r="I101" s="119">
        <f>SUM(I3:I100)</f>
        <v/>
      </c>
      <c r="J101" s="96" t="n"/>
      <c r="K101" s="97" t="n"/>
      <c r="L101" s="120">
        <f>SUM(L3:L100)</f>
        <v/>
      </c>
      <c r="M101" s="76" t="n"/>
      <c r="N101" s="76" t="n"/>
      <c r="O101" s="121">
        <f>SUM(O3:O100)</f>
        <v/>
      </c>
      <c r="P101" s="18" t="n"/>
      <c r="Q101" s="18" t="n"/>
      <c r="R101" s="122">
        <f>SUM(R3:R100)</f>
        <v/>
      </c>
      <c r="S101" s="18" t="n"/>
      <c r="T101" s="18" t="n"/>
      <c r="U101" s="123">
        <f>SUM(U3:U100)</f>
        <v/>
      </c>
      <c r="V101" s="102" t="n"/>
      <c r="W101" s="13" t="n"/>
      <c r="X101" s="124">
        <f>SUM(X3:X100)</f>
        <v/>
      </c>
    </row>
  </sheetData>
  <mergeCells count="7">
    <mergeCell ref="J1:L1"/>
    <mergeCell ref="P1:R1"/>
    <mergeCell ref="S1:U1"/>
    <mergeCell ref="M1:O1"/>
    <mergeCell ref="B1:I1"/>
    <mergeCell ref="V1:X1"/>
    <mergeCell ref="A1:A2"/>
  </mergeCells>
  <dataValidations count="1">
    <dataValidation sqref="C101" showDropDown="0" showInputMessage="1" showErrorMessage="1" allowBlank="1" type="list">
      <formula1>类别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W16"/>
  <sheetViews>
    <sheetView zoomScale="120" zoomScaleNormal="120" workbookViewId="0">
      <pane xSplit="8" ySplit="3" topLeftCell="I4" activePane="bottomRight" state="frozen"/>
      <selection activeCell="A1" sqref="A1"/>
      <selection pane="topRight" activeCell="A1" sqref="A1"/>
      <selection pane="bottomLeft" activeCell="A1" sqref="A1"/>
      <selection pane="bottomRight" activeCell="BY32" sqref="BY32"/>
    </sheetView>
  </sheetViews>
  <sheetFormatPr baseColWidth="8" defaultColWidth="8.891666666666669" defaultRowHeight="13.5"/>
  <cols>
    <col width="8.891666666666669" customWidth="1" style="3" min="1" max="2"/>
    <col width="7.44166666666667" customWidth="1" style="3" min="3" max="3"/>
    <col width="11.1083333333333" customWidth="1" style="3" min="4" max="4"/>
    <col width="5.10833333333333" customWidth="1" style="3" min="5" max="5"/>
    <col width="8.775" customWidth="1" style="3" min="6" max="6"/>
    <col width="5.10833333333333" customWidth="1" style="3" min="7" max="7"/>
    <col width="9.44166666666667" customWidth="1" style="3" min="8" max="8"/>
    <col width="3.775" customWidth="1" style="3" min="9" max="10"/>
    <col width="7.55833333333333" customWidth="1" style="125" min="11" max="11"/>
    <col width="3.775" customWidth="1" style="3" min="12" max="13"/>
    <col width="6.775" customWidth="1" style="125" min="14" max="14"/>
    <col width="3.775" customWidth="1" style="3" min="15" max="16"/>
    <col width="6.89166666666667" customWidth="1" style="125" min="17" max="17"/>
    <col width="3.775" customWidth="1" style="3" min="18" max="19"/>
    <col width="6.55833333333333" customWidth="1" style="125" min="20" max="20"/>
    <col width="3.775" customWidth="1" style="3" min="21" max="22"/>
    <col width="7" customWidth="1" style="125" min="23" max="23"/>
    <col width="3.775" customWidth="1" style="3" min="24" max="25"/>
    <col width="6.89166666666667" customWidth="1" style="125" min="26" max="26"/>
    <col width="3.775" customWidth="1" style="3" min="27" max="28"/>
    <col width="6.775" customWidth="1" style="125" min="29" max="29"/>
    <col width="3.775" customWidth="1" style="3" min="30" max="31"/>
    <col width="7.10833333333333" customWidth="1" style="125" min="32" max="32"/>
    <col width="3.775" customWidth="1" style="3" min="33" max="34"/>
    <col width="7.33333333333333" customWidth="1" style="125" min="35" max="35"/>
    <col width="3.775" customWidth="1" style="3" min="36" max="37"/>
    <col width="6.89166666666667" customWidth="1" style="125" min="38" max="38"/>
    <col width="3.775" customWidth="1" style="3" min="39" max="40"/>
    <col width="6.66666666666667" customWidth="1" style="125" min="41" max="41"/>
    <col width="3.775" customWidth="1" style="3" min="42" max="43"/>
    <col width="6.775" customWidth="1" style="125" min="44" max="44"/>
    <col width="3.775" customWidth="1" style="3" min="45" max="46"/>
    <col width="6.89166666666667" customWidth="1" style="125" min="47" max="47"/>
    <col width="3.775" customWidth="1" style="3" min="48" max="49"/>
    <col width="6.775" customWidth="1" style="125" min="50" max="50"/>
    <col width="3.775" customWidth="1" style="3" min="51" max="52"/>
    <col width="7.55833333333333" customWidth="1" style="125" min="53" max="53"/>
    <col width="3.775" customWidth="1" style="3" min="54" max="55"/>
    <col width="6.66666666666667" customWidth="1" style="125" min="56" max="56"/>
    <col width="3.775" customWidth="1" style="3" min="57" max="58"/>
    <col width="7.44166666666667" customWidth="1" style="125" min="59" max="59"/>
    <col width="3.775" customWidth="1" style="3" min="60" max="61"/>
    <col width="7.10833333333333" customWidth="1" style="125" min="62" max="62"/>
    <col width="3.775" customWidth="1" style="3" min="63" max="64"/>
    <col width="6.66666666666667" customWidth="1" style="125" min="65" max="65"/>
    <col width="3.775" customWidth="1" style="3" min="66" max="67"/>
    <col width="6.55833333333333" customWidth="1" style="125" min="68" max="68"/>
    <col width="3.775" customWidth="1" style="3" min="69" max="70"/>
    <col width="7.10833333333333" customWidth="1" style="125" min="71" max="71"/>
    <col width="3.775" customWidth="1" style="3" min="72" max="73"/>
    <col width="7.33333333333333" customWidth="1" style="125" min="74" max="74"/>
    <col width="3.775" customWidth="1" style="3" min="75" max="76"/>
    <col width="6.55833333333333" customWidth="1" style="125" min="77" max="77"/>
    <col width="3.775" customWidth="1" style="3" min="78" max="79"/>
    <col width="7.225" customWidth="1" style="125" min="80" max="80"/>
    <col width="3.775" customWidth="1" style="3" min="81" max="82"/>
    <col width="6.775" customWidth="1" style="125" min="83" max="83"/>
    <col width="3.775" customWidth="1" style="3" min="84" max="85"/>
    <col width="6.55833333333333" customWidth="1" style="125" min="86" max="86"/>
    <col width="3.775" customWidth="1" style="3" min="87" max="88"/>
    <col width="7.55833333333333" customWidth="1" style="125" min="89" max="89"/>
    <col width="3.775" customWidth="1" style="3" min="90" max="91"/>
    <col width="6.44166666666667" customWidth="1" style="125" min="92" max="92"/>
    <col width="3.775" customWidth="1" style="3" min="93" max="94"/>
    <col width="6.44166666666667" customWidth="1" style="125" min="95" max="95"/>
    <col width="3.775" customWidth="1" style="3" min="96" max="97"/>
    <col width="7.89166666666667" customWidth="1" style="125" min="98" max="98"/>
    <col width="3.775" customWidth="1" style="3" min="99" max="100"/>
    <col width="7.89166666666667" customWidth="1" style="3" min="101" max="101"/>
    <col width="8.891666666666669" customWidth="1" style="3" min="102" max="16384"/>
  </cols>
  <sheetData>
    <row r="1" ht="26" customHeight="1" s="3">
      <c r="A1" s="73" t="inlineStr">
        <is>
          <t>粉小主肉类采购订货汇总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</row>
    <row r="2">
      <c r="A2" s="6" t="inlineStr">
        <is>
          <t>序号</t>
        </is>
      </c>
      <c r="B2" s="6" t="inlineStr">
        <is>
          <t>物料代码</t>
        </is>
      </c>
      <c r="C2" s="6" t="inlineStr">
        <is>
          <t>类别</t>
        </is>
      </c>
      <c r="D2" s="10" t="inlineStr">
        <is>
          <t>品名</t>
        </is>
      </c>
      <c r="E2" s="10" t="inlineStr">
        <is>
          <t>单位</t>
        </is>
      </c>
      <c r="F2" s="10" t="inlineStr">
        <is>
          <t>合计</t>
        </is>
      </c>
      <c r="G2" s="7" t="n"/>
      <c r="H2" s="8" t="n"/>
      <c r="I2" s="48" t="n">
        <v>46235</v>
      </c>
      <c r="J2" s="7" t="n"/>
      <c r="K2" s="8" t="n"/>
      <c r="L2" s="48" t="n">
        <v>46236</v>
      </c>
      <c r="M2" s="7" t="n"/>
      <c r="N2" s="8" t="n"/>
      <c r="O2" s="48" t="n">
        <v>46237</v>
      </c>
      <c r="P2" s="7" t="n"/>
      <c r="Q2" s="8" t="n"/>
      <c r="R2" s="48" t="n">
        <v>46238</v>
      </c>
      <c r="S2" s="7" t="n"/>
      <c r="T2" s="8" t="n"/>
      <c r="U2" s="48" t="n">
        <v>46239</v>
      </c>
      <c r="V2" s="7" t="n"/>
      <c r="W2" s="8" t="n"/>
      <c r="X2" s="48" t="n">
        <v>46240</v>
      </c>
      <c r="Y2" s="7" t="n"/>
      <c r="Z2" s="8" t="n"/>
      <c r="AA2" s="48" t="n">
        <v>46241</v>
      </c>
      <c r="AB2" s="7" t="n"/>
      <c r="AC2" s="8" t="n"/>
      <c r="AD2" s="48" t="n">
        <v>46242</v>
      </c>
      <c r="AE2" s="7" t="n"/>
      <c r="AF2" s="8" t="n"/>
      <c r="AG2" s="48" t="n">
        <v>46243</v>
      </c>
      <c r="AH2" s="7" t="n"/>
      <c r="AI2" s="8" t="n"/>
      <c r="AJ2" s="48" t="n">
        <v>46244</v>
      </c>
      <c r="AK2" s="7" t="n"/>
      <c r="AL2" s="8" t="n"/>
      <c r="AM2" s="48" t="n">
        <v>46245</v>
      </c>
      <c r="AN2" s="7" t="n"/>
      <c r="AO2" s="8" t="n"/>
      <c r="AP2" s="48" t="n">
        <v>46246</v>
      </c>
      <c r="AQ2" s="7" t="n"/>
      <c r="AR2" s="8" t="n"/>
      <c r="AS2" s="48" t="n">
        <v>46247</v>
      </c>
      <c r="AT2" s="7" t="n"/>
      <c r="AU2" s="8" t="n"/>
      <c r="AV2" s="48" t="n">
        <v>46248</v>
      </c>
      <c r="AW2" s="7" t="n"/>
      <c r="AX2" s="8" t="n"/>
      <c r="AY2" s="48" t="n">
        <v>46249</v>
      </c>
      <c r="AZ2" s="7" t="n"/>
      <c r="BA2" s="8" t="n"/>
      <c r="BB2" s="48" t="n">
        <v>46250</v>
      </c>
      <c r="BC2" s="7" t="n"/>
      <c r="BD2" s="8" t="n"/>
      <c r="BE2" s="48" t="n">
        <v>46251</v>
      </c>
      <c r="BF2" s="7" t="n"/>
      <c r="BG2" s="8" t="n"/>
      <c r="BH2" s="48" t="n">
        <v>46252</v>
      </c>
      <c r="BI2" s="7" t="n"/>
      <c r="BJ2" s="8" t="n"/>
      <c r="BK2" s="48" t="n">
        <v>46253</v>
      </c>
      <c r="BL2" s="7" t="n"/>
      <c r="BM2" s="8" t="n"/>
      <c r="BN2" s="48" t="n">
        <v>46254</v>
      </c>
      <c r="BO2" s="7" t="n"/>
      <c r="BP2" s="8" t="n"/>
      <c r="BQ2" s="48" t="n">
        <v>46255</v>
      </c>
      <c r="BR2" s="7" t="n"/>
      <c r="BS2" s="8" t="n"/>
      <c r="BT2" s="48" t="n">
        <v>46256</v>
      </c>
      <c r="BU2" s="7" t="n"/>
      <c r="BV2" s="8" t="n"/>
      <c r="BW2" s="48" t="n">
        <v>46257</v>
      </c>
      <c r="BX2" s="7" t="n"/>
      <c r="BY2" s="8" t="n"/>
      <c r="BZ2" s="48" t="n">
        <v>46258</v>
      </c>
      <c r="CA2" s="7" t="n"/>
      <c r="CB2" s="8" t="n"/>
      <c r="CC2" s="48" t="n">
        <v>46259</v>
      </c>
      <c r="CD2" s="7" t="n"/>
      <c r="CE2" s="8" t="n"/>
      <c r="CF2" s="48" t="n">
        <v>46260</v>
      </c>
      <c r="CG2" s="7" t="n"/>
      <c r="CH2" s="8" t="n"/>
      <c r="CI2" s="48" t="n">
        <v>46261</v>
      </c>
      <c r="CJ2" s="7" t="n"/>
      <c r="CK2" s="8" t="n"/>
      <c r="CL2" s="48" t="n">
        <v>46262</v>
      </c>
      <c r="CM2" s="7" t="n"/>
      <c r="CN2" s="8" t="n"/>
      <c r="CO2" s="48" t="n">
        <v>46263</v>
      </c>
      <c r="CP2" s="7" t="n"/>
      <c r="CQ2" s="8" t="n"/>
      <c r="CR2" s="48" t="n">
        <v>46264</v>
      </c>
      <c r="CS2" s="7" t="n"/>
      <c r="CT2" s="8" t="n"/>
      <c r="CU2" s="48" t="n">
        <v>46265</v>
      </c>
      <c r="CV2" s="7" t="n"/>
      <c r="CW2" s="8" t="n"/>
    </row>
    <row r="3">
      <c r="A3" s="12" t="n"/>
      <c r="B3" s="12" t="n"/>
      <c r="C3" s="12" t="n"/>
      <c r="D3" s="12" t="n"/>
      <c r="E3" s="12" t="n"/>
      <c r="F3" s="10" t="inlineStr">
        <is>
          <t>数量</t>
        </is>
      </c>
      <c r="G3" s="10" t="inlineStr">
        <is>
          <t>单价</t>
        </is>
      </c>
      <c r="H3" s="10" t="inlineStr">
        <is>
          <t>金额</t>
        </is>
      </c>
      <c r="I3" s="37" t="inlineStr">
        <is>
          <t>数量</t>
        </is>
      </c>
      <c r="J3" s="37" t="inlineStr">
        <is>
          <t>单价</t>
        </is>
      </c>
      <c r="K3" s="126" t="inlineStr">
        <is>
          <t>金额</t>
        </is>
      </c>
      <c r="L3" s="53" t="inlineStr">
        <is>
          <t>数量</t>
        </is>
      </c>
      <c r="M3" s="53" t="inlineStr">
        <is>
          <t>单价</t>
        </is>
      </c>
      <c r="N3" s="127" t="inlineStr">
        <is>
          <t>金额</t>
        </is>
      </c>
      <c r="O3" s="37" t="inlineStr">
        <is>
          <t>数量</t>
        </is>
      </c>
      <c r="P3" s="37" t="inlineStr">
        <is>
          <t>单价</t>
        </is>
      </c>
      <c r="Q3" s="126" t="inlineStr">
        <is>
          <t>金额</t>
        </is>
      </c>
      <c r="R3" s="53" t="inlineStr">
        <is>
          <t>数量</t>
        </is>
      </c>
      <c r="S3" s="53" t="inlineStr">
        <is>
          <t>单价</t>
        </is>
      </c>
      <c r="T3" s="127" t="inlineStr">
        <is>
          <t>金额</t>
        </is>
      </c>
      <c r="U3" s="37" t="inlineStr">
        <is>
          <t>数量</t>
        </is>
      </c>
      <c r="V3" s="37" t="inlineStr">
        <is>
          <t>单价</t>
        </is>
      </c>
      <c r="W3" s="126" t="inlineStr">
        <is>
          <t>金额</t>
        </is>
      </c>
      <c r="X3" s="53" t="inlineStr">
        <is>
          <t>数量</t>
        </is>
      </c>
      <c r="Y3" s="53" t="inlineStr">
        <is>
          <t>单价</t>
        </is>
      </c>
      <c r="Z3" s="127" t="inlineStr">
        <is>
          <t>金额</t>
        </is>
      </c>
      <c r="AA3" s="37" t="inlineStr">
        <is>
          <t>数量</t>
        </is>
      </c>
      <c r="AB3" s="37" t="inlineStr">
        <is>
          <t>单价</t>
        </is>
      </c>
      <c r="AC3" s="126" t="inlineStr">
        <is>
          <t>金额</t>
        </is>
      </c>
      <c r="AD3" s="53" t="inlineStr">
        <is>
          <t>数量</t>
        </is>
      </c>
      <c r="AE3" s="53" t="inlineStr">
        <is>
          <t>单价</t>
        </is>
      </c>
      <c r="AF3" s="127" t="inlineStr">
        <is>
          <t>金额</t>
        </is>
      </c>
      <c r="AG3" s="37" t="inlineStr">
        <is>
          <t>数量</t>
        </is>
      </c>
      <c r="AH3" s="37" t="inlineStr">
        <is>
          <t>单价</t>
        </is>
      </c>
      <c r="AI3" s="126" t="inlineStr">
        <is>
          <t>金额</t>
        </is>
      </c>
      <c r="AJ3" s="53" t="inlineStr">
        <is>
          <t>数量</t>
        </is>
      </c>
      <c r="AK3" s="53" t="inlineStr">
        <is>
          <t>单价</t>
        </is>
      </c>
      <c r="AL3" s="127" t="inlineStr">
        <is>
          <t>金额</t>
        </is>
      </c>
      <c r="AM3" s="37" t="inlineStr">
        <is>
          <t>数量</t>
        </is>
      </c>
      <c r="AN3" s="37" t="inlineStr">
        <is>
          <t>单价</t>
        </is>
      </c>
      <c r="AO3" s="126" t="inlineStr">
        <is>
          <t>金额</t>
        </is>
      </c>
      <c r="AP3" s="53" t="inlineStr">
        <is>
          <t>数量</t>
        </is>
      </c>
      <c r="AQ3" s="53" t="inlineStr">
        <is>
          <t>单价</t>
        </is>
      </c>
      <c r="AR3" s="127" t="inlineStr">
        <is>
          <t>金额</t>
        </is>
      </c>
      <c r="AS3" s="37" t="inlineStr">
        <is>
          <t>数量</t>
        </is>
      </c>
      <c r="AT3" s="37" t="inlineStr">
        <is>
          <t>单价</t>
        </is>
      </c>
      <c r="AU3" s="126" t="inlineStr">
        <is>
          <t>金额</t>
        </is>
      </c>
      <c r="AV3" s="53" t="inlineStr">
        <is>
          <t>数量</t>
        </is>
      </c>
      <c r="AW3" s="53" t="inlineStr">
        <is>
          <t>单价</t>
        </is>
      </c>
      <c r="AX3" s="127" t="inlineStr">
        <is>
          <t>金额</t>
        </is>
      </c>
      <c r="AY3" s="37" t="inlineStr">
        <is>
          <t>数量</t>
        </is>
      </c>
      <c r="AZ3" s="37" t="inlineStr">
        <is>
          <t>单价</t>
        </is>
      </c>
      <c r="BA3" s="126" t="inlineStr">
        <is>
          <t>金额</t>
        </is>
      </c>
      <c r="BB3" s="53" t="inlineStr">
        <is>
          <t>数量</t>
        </is>
      </c>
      <c r="BC3" s="53" t="inlineStr">
        <is>
          <t>单价</t>
        </is>
      </c>
      <c r="BD3" s="127" t="inlineStr">
        <is>
          <t>金额</t>
        </is>
      </c>
      <c r="BE3" s="37" t="inlineStr">
        <is>
          <t>数量</t>
        </is>
      </c>
      <c r="BF3" s="37" t="inlineStr">
        <is>
          <t>单价</t>
        </is>
      </c>
      <c r="BG3" s="126" t="inlineStr">
        <is>
          <t>金额</t>
        </is>
      </c>
      <c r="BH3" s="53" t="inlineStr">
        <is>
          <t>数量</t>
        </is>
      </c>
      <c r="BI3" s="53" t="inlineStr">
        <is>
          <t>单价</t>
        </is>
      </c>
      <c r="BJ3" s="127" t="inlineStr">
        <is>
          <t>金额</t>
        </is>
      </c>
      <c r="BK3" s="37" t="inlineStr">
        <is>
          <t>数量</t>
        </is>
      </c>
      <c r="BL3" s="37" t="inlineStr">
        <is>
          <t>单价</t>
        </is>
      </c>
      <c r="BM3" s="126" t="inlineStr">
        <is>
          <t>金额</t>
        </is>
      </c>
      <c r="BN3" s="53" t="inlineStr">
        <is>
          <t>数量</t>
        </is>
      </c>
      <c r="BO3" s="53" t="inlineStr">
        <is>
          <t>单价</t>
        </is>
      </c>
      <c r="BP3" s="127" t="inlineStr">
        <is>
          <t>金额</t>
        </is>
      </c>
      <c r="BQ3" s="37" t="inlineStr">
        <is>
          <t>数量</t>
        </is>
      </c>
      <c r="BR3" s="37" t="inlineStr">
        <is>
          <t>单价</t>
        </is>
      </c>
      <c r="BS3" s="126" t="inlineStr">
        <is>
          <t>金额</t>
        </is>
      </c>
      <c r="BT3" s="53" t="inlineStr">
        <is>
          <t>数量</t>
        </is>
      </c>
      <c r="BU3" s="53" t="inlineStr">
        <is>
          <t>单价</t>
        </is>
      </c>
      <c r="BV3" s="127" t="inlineStr">
        <is>
          <t>金额</t>
        </is>
      </c>
      <c r="BW3" s="37" t="inlineStr">
        <is>
          <t>数量</t>
        </is>
      </c>
      <c r="BX3" s="37" t="inlineStr">
        <is>
          <t>单价</t>
        </is>
      </c>
      <c r="BY3" s="126" t="inlineStr">
        <is>
          <t>金额</t>
        </is>
      </c>
      <c r="BZ3" s="53" t="inlineStr">
        <is>
          <t>数量</t>
        </is>
      </c>
      <c r="CA3" s="53" t="inlineStr">
        <is>
          <t>单价</t>
        </is>
      </c>
      <c r="CB3" s="127" t="inlineStr">
        <is>
          <t>金额</t>
        </is>
      </c>
      <c r="CC3" s="37" t="inlineStr">
        <is>
          <t>数量</t>
        </is>
      </c>
      <c r="CD3" s="37" t="inlineStr">
        <is>
          <t>单价</t>
        </is>
      </c>
      <c r="CE3" s="126" t="inlineStr">
        <is>
          <t>金额</t>
        </is>
      </c>
      <c r="CF3" s="53" t="inlineStr">
        <is>
          <t>数量</t>
        </is>
      </c>
      <c r="CG3" s="53" t="inlineStr">
        <is>
          <t>单价</t>
        </is>
      </c>
      <c r="CH3" s="127" t="inlineStr">
        <is>
          <t>金额</t>
        </is>
      </c>
      <c r="CI3" s="37" t="inlineStr">
        <is>
          <t>数量</t>
        </is>
      </c>
      <c r="CJ3" s="37" t="inlineStr">
        <is>
          <t>单价</t>
        </is>
      </c>
      <c r="CK3" s="126" t="inlineStr">
        <is>
          <t>金额</t>
        </is>
      </c>
      <c r="CL3" s="53" t="inlineStr">
        <is>
          <t>数量</t>
        </is>
      </c>
      <c r="CM3" s="53" t="inlineStr">
        <is>
          <t>单价</t>
        </is>
      </c>
      <c r="CN3" s="127" t="inlineStr">
        <is>
          <t>金额</t>
        </is>
      </c>
      <c r="CO3" s="37" t="inlineStr">
        <is>
          <t>数量</t>
        </is>
      </c>
      <c r="CP3" s="37" t="inlineStr">
        <is>
          <t>单价</t>
        </is>
      </c>
      <c r="CQ3" s="126" t="inlineStr">
        <is>
          <t>金额</t>
        </is>
      </c>
      <c r="CR3" s="53" t="inlineStr">
        <is>
          <t>数量</t>
        </is>
      </c>
      <c r="CS3" s="53" t="inlineStr">
        <is>
          <t>单价</t>
        </is>
      </c>
      <c r="CT3" s="127" t="inlineStr">
        <is>
          <t>金额</t>
        </is>
      </c>
      <c r="CU3" s="37" t="inlineStr">
        <is>
          <t>数量</t>
        </is>
      </c>
      <c r="CV3" s="37" t="inlineStr">
        <is>
          <t>单价</t>
        </is>
      </c>
      <c r="CW3" s="126" t="inlineStr">
        <is>
          <t>金额</t>
        </is>
      </c>
    </row>
    <row r="4">
      <c r="A4" s="13" t="n">
        <v>1</v>
      </c>
      <c r="B4" s="13" t="n">
        <v>3025131</v>
      </c>
      <c r="C4" s="13" t="inlineStr">
        <is>
          <t>食品类</t>
        </is>
      </c>
      <c r="D4" s="13" t="inlineStr">
        <is>
          <t>牛大骨</t>
        </is>
      </c>
      <c r="E4" s="13" t="inlineStr">
        <is>
          <t>斤</t>
        </is>
      </c>
      <c r="F4" s="6">
        <f>I4+L4+O4+R4+U4+X4+AA4+AD4+AG4+AJ4+AM4+AP4+AS4+AV4+AY4+BB4+BE4+BH4+BK4+BN4+BQ4+BT4+BW4+BZ4+CC4+CF4+CI4+CL4+CO4+CR4+CU4</f>
        <v/>
      </c>
      <c r="G4" s="6">
        <f>H4/F4</f>
        <v/>
      </c>
      <c r="H4" s="6">
        <f>K4+N4+Q4+T4+W4+Z4+AC4+AF4+AI4+AL4+AO4+AR4+AU4+AX4+BA4+BD4+BG4+BJ4+BM4+BP4+BS4+BV4+BY4+CB4+CE4+CH4+CK4+CN4+CQ4+CT4+CW4</f>
        <v/>
      </c>
      <c r="I4" s="55" t="n"/>
      <c r="J4" s="55">
        <f>K4/I4</f>
        <v/>
      </c>
      <c r="K4" s="55" t="n"/>
      <c r="L4" s="58" t="n"/>
      <c r="M4" s="58">
        <f>N4/L4</f>
        <v/>
      </c>
      <c r="N4" s="58" t="n"/>
      <c r="O4" s="55" t="n"/>
      <c r="P4" s="55">
        <f>Q4/O4</f>
        <v/>
      </c>
      <c r="Q4" s="55" t="n"/>
      <c r="R4" s="58" t="n"/>
      <c r="S4" s="58">
        <f>T4/R4</f>
        <v/>
      </c>
      <c r="T4" s="58" t="n"/>
      <c r="U4" s="55" t="n"/>
      <c r="V4" s="55">
        <f>W4/U4</f>
        <v/>
      </c>
      <c r="W4" s="55" t="n"/>
      <c r="X4" s="58" t="n"/>
      <c r="Y4" s="58">
        <f>Z4/X4</f>
        <v/>
      </c>
      <c r="Z4" s="58" t="n"/>
      <c r="AA4" s="55" t="n"/>
      <c r="AB4" s="55">
        <f>AC4/AA4</f>
        <v/>
      </c>
      <c r="AC4" s="55" t="n"/>
      <c r="AD4" s="58" t="n"/>
      <c r="AE4" s="58">
        <f>AF4/AD4</f>
        <v/>
      </c>
      <c r="AF4" s="58" t="n"/>
      <c r="AG4" s="55" t="n"/>
      <c r="AH4" s="55">
        <f>AI4/AG4</f>
        <v/>
      </c>
      <c r="AI4" s="55" t="n"/>
      <c r="AJ4" s="58" t="n"/>
      <c r="AK4" s="58">
        <f>AL4/AJ4</f>
        <v/>
      </c>
      <c r="AL4" s="58" t="n"/>
      <c r="AM4" s="55" t="n"/>
      <c r="AN4" s="55">
        <f>AO4/AM4</f>
        <v/>
      </c>
      <c r="AO4" s="55" t="n"/>
      <c r="AP4" s="58" t="n"/>
      <c r="AQ4" s="58">
        <f>AR4/AP4</f>
        <v/>
      </c>
      <c r="AR4" s="58" t="n"/>
      <c r="AS4" s="55" t="n"/>
      <c r="AT4" s="55">
        <f>AU4/AS4</f>
        <v/>
      </c>
      <c r="AU4" s="55" t="n"/>
      <c r="AV4" s="58" t="n"/>
      <c r="AW4" s="58">
        <f>AX4/AV4</f>
        <v/>
      </c>
      <c r="AX4" s="58" t="n"/>
      <c r="AY4" s="55" t="n"/>
      <c r="AZ4" s="55">
        <f>BA4/AY4</f>
        <v/>
      </c>
      <c r="BA4" s="55" t="n"/>
      <c r="BB4" s="58" t="n"/>
      <c r="BC4" s="58">
        <f>BD4/BB4</f>
        <v/>
      </c>
      <c r="BD4" s="58" t="n"/>
      <c r="BE4" s="55" t="n"/>
      <c r="BF4" s="55">
        <f>BG4/BE4</f>
        <v/>
      </c>
      <c r="BG4" s="55" t="n"/>
      <c r="BH4" s="58" t="n"/>
      <c r="BI4" s="58">
        <f>BJ4/BH4</f>
        <v/>
      </c>
      <c r="BJ4" s="58" t="n"/>
      <c r="BK4" s="55" t="n"/>
      <c r="BL4" s="55">
        <f>BM4/BK4</f>
        <v/>
      </c>
      <c r="BM4" s="55" t="n"/>
      <c r="BN4" s="58" t="n"/>
      <c r="BO4" s="58">
        <f>BP4/BN4</f>
        <v/>
      </c>
      <c r="BP4" s="58" t="n"/>
      <c r="BQ4" s="55" t="n"/>
      <c r="BR4" s="55">
        <f>BS4/BQ4</f>
        <v/>
      </c>
      <c r="BS4" s="55" t="n"/>
      <c r="BT4" s="58" t="n"/>
      <c r="BU4" s="58">
        <f>BV4/BT4</f>
        <v/>
      </c>
      <c r="BV4" s="58" t="n"/>
      <c r="BW4" s="55" t="n"/>
      <c r="BX4" s="55">
        <f>BY4/BW4</f>
        <v/>
      </c>
      <c r="BY4" s="55" t="n"/>
      <c r="BZ4" s="58" t="n"/>
      <c r="CA4" s="58">
        <f>CB4/BZ4</f>
        <v/>
      </c>
      <c r="CB4" s="58" t="n"/>
      <c r="CC4" s="55" t="n"/>
      <c r="CD4" s="55">
        <f>CE4/CC4</f>
        <v/>
      </c>
      <c r="CE4" s="55" t="n"/>
      <c r="CF4" s="58" t="n"/>
      <c r="CG4" s="58">
        <f>CH4/CF4</f>
        <v/>
      </c>
      <c r="CH4" s="58" t="n"/>
      <c r="CI4" s="55" t="n"/>
      <c r="CJ4" s="55">
        <f>CK4/CI4</f>
        <v/>
      </c>
      <c r="CK4" s="55" t="n"/>
      <c r="CL4" s="58" t="n"/>
      <c r="CM4" s="58">
        <f>CN4/CL4</f>
        <v/>
      </c>
      <c r="CN4" s="58" t="n"/>
      <c r="CO4" s="55" t="n"/>
      <c r="CP4" s="55">
        <f>CQ4/CO4</f>
        <v/>
      </c>
      <c r="CQ4" s="55" t="n"/>
      <c r="CR4" s="58" t="n"/>
      <c r="CS4" s="58">
        <f>CT4/CR4</f>
        <v/>
      </c>
      <c r="CT4" s="58" t="n"/>
      <c r="CU4" s="55" t="n"/>
      <c r="CV4" s="55">
        <f>CW4/CU4</f>
        <v/>
      </c>
      <c r="CW4" s="55" t="n"/>
    </row>
    <row r="5">
      <c r="A5" s="13" t="n">
        <v>2</v>
      </c>
      <c r="B5" s="13" t="n">
        <v>3029361</v>
      </c>
      <c r="C5" s="13" t="inlineStr">
        <is>
          <t>食品类</t>
        </is>
      </c>
      <c r="D5" s="13" t="inlineStr">
        <is>
          <t>鲜牛脊骨块</t>
        </is>
      </c>
      <c r="E5" s="13" t="inlineStr">
        <is>
          <t>斤</t>
        </is>
      </c>
      <c r="F5" s="6">
        <f>I5+L5+O5+R5+U5+X5+AA5+AD5+AG5+AJ5+AM5+AP5+AS5+AV5+AY5+BB5+BE5+BH5+BK5+BN5+BQ5+BT5+BW5+BZ5+CC5+CF5+CI5+CL5+CO5+CR5+CU5</f>
        <v/>
      </c>
      <c r="G5" s="6">
        <f>H5/F5</f>
        <v/>
      </c>
      <c r="H5" s="6">
        <f>K5+N5+Q5+T5+W5+Z5+AC5+AF5+AI5+AL5+AO5+AR5+AU5+AX5+BA5+BD5+BG5+BJ5+BM5+BP5+BS5+BV5+BY5+CB5+CE5+CH5+CK5+CN5+CQ5+CT5+CW5</f>
        <v/>
      </c>
      <c r="I5" s="55" t="n"/>
      <c r="J5" s="55">
        <f>K5/I5</f>
        <v/>
      </c>
      <c r="K5" s="55" t="n"/>
      <c r="L5" s="58" t="n"/>
      <c r="M5" s="58">
        <f>N5/L5</f>
        <v/>
      </c>
      <c r="N5" s="58" t="n"/>
      <c r="O5" s="55" t="n"/>
      <c r="P5" s="55">
        <f>Q5/O5</f>
        <v/>
      </c>
      <c r="Q5" s="55" t="n"/>
      <c r="R5" s="58" t="n"/>
      <c r="S5" s="58">
        <f>T5/R5</f>
        <v/>
      </c>
      <c r="T5" s="58" t="n"/>
      <c r="U5" s="55" t="n"/>
      <c r="V5" s="55">
        <f>W5/U5</f>
        <v/>
      </c>
      <c r="W5" s="55" t="n"/>
      <c r="X5" s="58" t="n"/>
      <c r="Y5" s="58">
        <f>Z5/X5</f>
        <v/>
      </c>
      <c r="Z5" s="58" t="n"/>
      <c r="AA5" s="55" t="n"/>
      <c r="AB5" s="55">
        <f>AC5/AA5</f>
        <v/>
      </c>
      <c r="AC5" s="55" t="n"/>
      <c r="AD5" s="58" t="n"/>
      <c r="AE5" s="58">
        <f>AF5/AD5</f>
        <v/>
      </c>
      <c r="AF5" s="58" t="n"/>
      <c r="AG5" s="55" t="n"/>
      <c r="AH5" s="55">
        <f>AI5/AG5</f>
        <v/>
      </c>
      <c r="AI5" s="55" t="n"/>
      <c r="AJ5" s="58" t="n"/>
      <c r="AK5" s="58">
        <f>AL5/AJ5</f>
        <v/>
      </c>
      <c r="AL5" s="58" t="n"/>
      <c r="AM5" s="55" t="n"/>
      <c r="AN5" s="55">
        <f>AO5/AM5</f>
        <v/>
      </c>
      <c r="AO5" s="55" t="n"/>
      <c r="AP5" s="58" t="n"/>
      <c r="AQ5" s="58">
        <f>AR5/AP5</f>
        <v/>
      </c>
      <c r="AR5" s="58" t="n"/>
      <c r="AS5" s="55" t="n"/>
      <c r="AT5" s="55">
        <f>AU5/AS5</f>
        <v/>
      </c>
      <c r="AU5" s="55" t="n"/>
      <c r="AV5" s="58" t="n"/>
      <c r="AW5" s="58">
        <f>AX5/AV5</f>
        <v/>
      </c>
      <c r="AX5" s="58" t="n"/>
      <c r="AY5" s="55" t="n"/>
      <c r="AZ5" s="55">
        <f>BA5/AY5</f>
        <v/>
      </c>
      <c r="BA5" s="55" t="n"/>
      <c r="BB5" s="58" t="n"/>
      <c r="BC5" s="58">
        <f>BD5/BB5</f>
        <v/>
      </c>
      <c r="BD5" s="58" t="n"/>
      <c r="BE5" s="55" t="n"/>
      <c r="BF5" s="55">
        <f>BG5/BE5</f>
        <v/>
      </c>
      <c r="BG5" s="55" t="n"/>
      <c r="BH5" s="58" t="n"/>
      <c r="BI5" s="58">
        <f>BJ5/BH5</f>
        <v/>
      </c>
      <c r="BJ5" s="58" t="n"/>
      <c r="BK5" s="55" t="n"/>
      <c r="BL5" s="55">
        <f>BM5/BK5</f>
        <v/>
      </c>
      <c r="BM5" s="55" t="n"/>
      <c r="BN5" s="58" t="n"/>
      <c r="BO5" s="58">
        <f>BP5/BN5</f>
        <v/>
      </c>
      <c r="BP5" s="58" t="n"/>
      <c r="BQ5" s="55" t="n"/>
      <c r="BR5" s="55">
        <f>BS5/BQ5</f>
        <v/>
      </c>
      <c r="BS5" s="55" t="n"/>
      <c r="BT5" s="58" t="n"/>
      <c r="BU5" s="58">
        <f>BV5/BT5</f>
        <v/>
      </c>
      <c r="BV5" s="58" t="n"/>
      <c r="BW5" s="55" t="n"/>
      <c r="BX5" s="55">
        <f>BY5/BW5</f>
        <v/>
      </c>
      <c r="BY5" s="55" t="n"/>
      <c r="BZ5" s="58" t="n"/>
      <c r="CA5" s="58">
        <f>CB5/BZ5</f>
        <v/>
      </c>
      <c r="CB5" s="58" t="n"/>
      <c r="CC5" s="55" t="n"/>
      <c r="CD5" s="55">
        <f>CE5/CC5</f>
        <v/>
      </c>
      <c r="CE5" s="55" t="n"/>
      <c r="CF5" s="58" t="n"/>
      <c r="CG5" s="58">
        <f>CH5/CF5</f>
        <v/>
      </c>
      <c r="CH5" s="58" t="n"/>
      <c r="CI5" s="55" t="n"/>
      <c r="CJ5" s="55">
        <f>CK5/CI5</f>
        <v/>
      </c>
      <c r="CK5" s="55" t="n"/>
      <c r="CL5" s="58" t="n"/>
      <c r="CM5" s="58">
        <f>CN5/CL5</f>
        <v/>
      </c>
      <c r="CN5" s="58" t="n"/>
      <c r="CO5" s="55" t="n"/>
      <c r="CP5" s="55">
        <f>CQ5/CO5</f>
        <v/>
      </c>
      <c r="CQ5" s="55" t="n"/>
      <c r="CR5" s="58" t="n"/>
      <c r="CS5" s="58">
        <f>CT5/CR5</f>
        <v/>
      </c>
      <c r="CT5" s="58" t="n"/>
      <c r="CU5" s="55" t="n"/>
      <c r="CV5" s="55">
        <f>CW5/CU5</f>
        <v/>
      </c>
      <c r="CW5" s="55" t="n"/>
    </row>
    <row r="6">
      <c r="A6" s="13" t="n">
        <v>3</v>
      </c>
      <c r="B6" s="13" t="n">
        <v>3023907</v>
      </c>
      <c r="C6" s="13" t="inlineStr">
        <is>
          <t>食品类</t>
        </is>
      </c>
      <c r="D6" s="13" t="inlineStr">
        <is>
          <t>生牛油</t>
        </is>
      </c>
      <c r="E6" s="13" t="inlineStr">
        <is>
          <t>斤</t>
        </is>
      </c>
      <c r="F6" s="6">
        <f>I6+L6+O6+R6+U6+X6+AA6+AD6+AG6+AJ6+AM6+AP6+AS6+AV6+AY6+BB6+BE6+BH6+BK6+BN6+BQ6+BT6+BW6+BZ6+CC6+CF6+CI6+CL6+CO6+CR6+CU6</f>
        <v/>
      </c>
      <c r="G6" s="6">
        <f>H6/F6</f>
        <v/>
      </c>
      <c r="H6" s="6">
        <f>K6+N6+Q6+T6+W6+Z6+AC6+AF6+AI6+AL6+AO6+AR6+AU6+AX6+BA6+BD6+BG6+BJ6+BM6+BP6+BS6+BV6+BY6+CB6+CE6+CH6+CK6+CN6+CQ6+CT6+CW6</f>
        <v/>
      </c>
      <c r="I6" s="55" t="n"/>
      <c r="J6" s="55">
        <f>K6/I6</f>
        <v/>
      </c>
      <c r="K6" s="55" t="n"/>
      <c r="L6" s="58" t="n"/>
      <c r="M6" s="58">
        <f>N6/L6</f>
        <v/>
      </c>
      <c r="N6" s="58" t="n"/>
      <c r="O6" s="55" t="n"/>
      <c r="P6" s="55">
        <f>Q6/O6</f>
        <v/>
      </c>
      <c r="Q6" s="55" t="n"/>
      <c r="R6" s="58" t="n"/>
      <c r="S6" s="58">
        <f>T6/R6</f>
        <v/>
      </c>
      <c r="T6" s="58" t="n"/>
      <c r="U6" s="55" t="n"/>
      <c r="V6" s="55">
        <f>W6/U6</f>
        <v/>
      </c>
      <c r="W6" s="55" t="n"/>
      <c r="X6" s="58" t="n"/>
      <c r="Y6" s="58">
        <f>Z6/X6</f>
        <v/>
      </c>
      <c r="Z6" s="58" t="n"/>
      <c r="AA6" s="55" t="n"/>
      <c r="AB6" s="55">
        <f>AC6/AA6</f>
        <v/>
      </c>
      <c r="AC6" s="55" t="n"/>
      <c r="AD6" s="58" t="n"/>
      <c r="AE6" s="58">
        <f>AF6/AD6</f>
        <v/>
      </c>
      <c r="AF6" s="58" t="n"/>
      <c r="AG6" s="55" t="n"/>
      <c r="AH6" s="55">
        <f>AI6/AG6</f>
        <v/>
      </c>
      <c r="AI6" s="55" t="n"/>
      <c r="AJ6" s="58" t="n"/>
      <c r="AK6" s="58">
        <f>AL6/AJ6</f>
        <v/>
      </c>
      <c r="AL6" s="58" t="n"/>
      <c r="AM6" s="55" t="n"/>
      <c r="AN6" s="55">
        <f>AO6/AM6</f>
        <v/>
      </c>
      <c r="AO6" s="55" t="n"/>
      <c r="AP6" s="58" t="n"/>
      <c r="AQ6" s="58">
        <f>AR6/AP6</f>
        <v/>
      </c>
      <c r="AR6" s="58" t="n"/>
      <c r="AS6" s="55" t="n"/>
      <c r="AT6" s="55">
        <f>AU6/AS6</f>
        <v/>
      </c>
      <c r="AU6" s="55" t="n"/>
      <c r="AV6" s="58" t="n"/>
      <c r="AW6" s="58">
        <f>AX6/AV6</f>
        <v/>
      </c>
      <c r="AX6" s="58" t="n"/>
      <c r="AY6" s="55" t="n"/>
      <c r="AZ6" s="55">
        <f>BA6/AY6</f>
        <v/>
      </c>
      <c r="BA6" s="55" t="n"/>
      <c r="BB6" s="58" t="n"/>
      <c r="BC6" s="58">
        <f>BD6/BB6</f>
        <v/>
      </c>
      <c r="BD6" s="58" t="n"/>
      <c r="BE6" s="55" t="n"/>
      <c r="BF6" s="55">
        <f>BG6/BE6</f>
        <v/>
      </c>
      <c r="BG6" s="55" t="n"/>
      <c r="BH6" s="58" t="n"/>
      <c r="BI6" s="58">
        <f>BJ6/BH6</f>
        <v/>
      </c>
      <c r="BJ6" s="58" t="n"/>
      <c r="BK6" s="55" t="n"/>
      <c r="BL6" s="55">
        <f>BM6/BK6</f>
        <v/>
      </c>
      <c r="BM6" s="55" t="n"/>
      <c r="BN6" s="58" t="n"/>
      <c r="BO6" s="58">
        <f>BP6/BN6</f>
        <v/>
      </c>
      <c r="BP6" s="58" t="n"/>
      <c r="BQ6" s="55" t="n"/>
      <c r="BR6" s="55">
        <f>BS6/BQ6</f>
        <v/>
      </c>
      <c r="BS6" s="55" t="n"/>
      <c r="BT6" s="58" t="n"/>
      <c r="BU6" s="58">
        <f>BV6/BT6</f>
        <v/>
      </c>
      <c r="BV6" s="58" t="n"/>
      <c r="BW6" s="55" t="n"/>
      <c r="BX6" s="55">
        <f>BY6/BW6</f>
        <v/>
      </c>
      <c r="BY6" s="55" t="n"/>
      <c r="BZ6" s="58" t="n"/>
      <c r="CA6" s="58">
        <f>CB6/BZ6</f>
        <v/>
      </c>
      <c r="CB6" s="58" t="n"/>
      <c r="CC6" s="55" t="n"/>
      <c r="CD6" s="55">
        <f>CE6/CC6</f>
        <v/>
      </c>
      <c r="CE6" s="55" t="n"/>
      <c r="CF6" s="58" t="n"/>
      <c r="CG6" s="58">
        <f>CH6/CF6</f>
        <v/>
      </c>
      <c r="CH6" s="58" t="n"/>
      <c r="CI6" s="55" t="n"/>
      <c r="CJ6" s="55">
        <f>CK6/CI6</f>
        <v/>
      </c>
      <c r="CK6" s="55" t="n"/>
      <c r="CL6" s="58" t="n"/>
      <c r="CM6" s="58">
        <f>CN6/CL6</f>
        <v/>
      </c>
      <c r="CN6" s="58" t="n"/>
      <c r="CO6" s="55" t="n"/>
      <c r="CP6" s="55">
        <f>CQ6/CO6</f>
        <v/>
      </c>
      <c r="CQ6" s="55" t="n"/>
      <c r="CR6" s="58" t="n"/>
      <c r="CS6" s="58">
        <f>CT6/CR6</f>
        <v/>
      </c>
      <c r="CT6" s="58" t="n"/>
      <c r="CU6" s="55" t="n"/>
      <c r="CV6" s="55">
        <f>CW6/CU6</f>
        <v/>
      </c>
      <c r="CW6" s="55" t="n"/>
    </row>
    <row r="7" customFormat="1" s="46">
      <c r="A7" s="42" t="n">
        <v>4</v>
      </c>
      <c r="B7" s="42" t="n">
        <v>3029947</v>
      </c>
      <c r="C7" s="42" t="inlineStr">
        <is>
          <t>食品类</t>
        </is>
      </c>
      <c r="D7" s="42" t="inlineStr">
        <is>
          <t>吊龙</t>
        </is>
      </c>
      <c r="E7" s="42" t="inlineStr">
        <is>
          <t>斤</t>
        </is>
      </c>
      <c r="F7" s="61">
        <f>I7+L7+O7+R7+U7+X7+AA7+AD7+AG7+AJ7+AM7+AP7+AS7+AV7+AY7+BB7+BE7+BH7+BK7+BN7+BQ7+BT7+BW7+BZ7+CC7+CF7+CI7+CL7+CO7+CR7+CU7</f>
        <v/>
      </c>
      <c r="G7" s="61">
        <f>H7/F7</f>
        <v/>
      </c>
      <c r="H7" s="61">
        <f>K7+N7+Q7+T7+W7+Z7+AC7+AF7+AI7+AL7+AO7+AR7+AU7+AX7+BA7+BD7+BG7+BJ7+BM7+BP7+BS7+BV7+BY7+CB7+CE7+CH7+CK7+CN7+CQ7+CT7+CW7</f>
        <v/>
      </c>
      <c r="I7" s="63" t="n"/>
      <c r="J7" s="63">
        <f>K7/I7</f>
        <v/>
      </c>
      <c r="K7" s="63" t="n"/>
      <c r="L7" s="63" t="n"/>
      <c r="M7" s="63">
        <f>N7/L7</f>
        <v/>
      </c>
      <c r="N7" s="63" t="n"/>
      <c r="O7" s="63" t="n"/>
      <c r="P7" s="63">
        <f>Q7/O7</f>
        <v/>
      </c>
      <c r="Q7" s="63" t="n"/>
      <c r="R7" s="63" t="n"/>
      <c r="S7" s="63">
        <f>T7/R7</f>
        <v/>
      </c>
      <c r="T7" s="63" t="n"/>
      <c r="U7" s="63" t="n"/>
      <c r="V7" s="63">
        <f>W7/U7</f>
        <v/>
      </c>
      <c r="W7" s="63" t="n"/>
      <c r="X7" s="63" t="n"/>
      <c r="Y7" s="63">
        <f>Z7/X7</f>
        <v/>
      </c>
      <c r="Z7" s="63" t="n"/>
      <c r="AA7" s="63" t="n"/>
      <c r="AB7" s="63">
        <f>AC7/AA7</f>
        <v/>
      </c>
      <c r="AC7" s="63" t="n"/>
      <c r="AD7" s="63" t="n"/>
      <c r="AE7" s="63">
        <f>AF7/AD7</f>
        <v/>
      </c>
      <c r="AF7" s="63" t="n"/>
      <c r="AG7" s="63" t="n"/>
      <c r="AH7" s="63">
        <f>AI7/AG7</f>
        <v/>
      </c>
      <c r="AI7" s="63" t="n"/>
      <c r="AJ7" s="63" t="n"/>
      <c r="AK7" s="63">
        <f>AL7/AJ7</f>
        <v/>
      </c>
      <c r="AL7" s="63" t="n"/>
      <c r="AM7" s="63" t="n"/>
      <c r="AN7" s="63">
        <f>AO7/AM7</f>
        <v/>
      </c>
      <c r="AO7" s="63" t="n"/>
      <c r="AP7" s="63" t="n"/>
      <c r="AQ7" s="63">
        <f>AR7/AP7</f>
        <v/>
      </c>
      <c r="AR7" s="63" t="n"/>
      <c r="AS7" s="63" t="n"/>
      <c r="AT7" s="63">
        <f>AU7/AS7</f>
        <v/>
      </c>
      <c r="AU7" s="63" t="n"/>
      <c r="AV7" s="63" t="n"/>
      <c r="AW7" s="63">
        <f>AX7/AV7</f>
        <v/>
      </c>
      <c r="AX7" s="63" t="n"/>
      <c r="AY7" s="63" t="n"/>
      <c r="AZ7" s="63">
        <f>BA7/AY7</f>
        <v/>
      </c>
      <c r="BA7" s="63" t="n"/>
      <c r="BB7" s="63" t="n"/>
      <c r="BC7" s="63">
        <f>BD7/BB7</f>
        <v/>
      </c>
      <c r="BD7" s="63" t="n"/>
      <c r="BE7" s="63" t="n"/>
      <c r="BF7" s="63">
        <f>BG7/BE7</f>
        <v/>
      </c>
      <c r="BG7" s="63" t="n"/>
      <c r="BH7" s="63" t="n"/>
      <c r="BI7" s="63">
        <f>BJ7/BH7</f>
        <v/>
      </c>
      <c r="BJ7" s="63" t="n"/>
      <c r="BK7" s="63" t="n"/>
      <c r="BL7" s="63">
        <f>BM7/BK7</f>
        <v/>
      </c>
      <c r="BM7" s="63" t="n"/>
      <c r="BN7" s="63" t="n"/>
      <c r="BO7" s="63">
        <f>BP7/BN7</f>
        <v/>
      </c>
      <c r="BP7" s="63" t="n"/>
      <c r="BQ7" s="63" t="n"/>
      <c r="BR7" s="63">
        <f>BS7/BQ7</f>
        <v/>
      </c>
      <c r="BS7" s="63" t="n"/>
      <c r="BT7" s="63" t="n"/>
      <c r="BU7" s="63">
        <f>BV7/BT7</f>
        <v/>
      </c>
      <c r="BV7" s="63" t="n"/>
      <c r="BW7" s="63" t="n"/>
      <c r="BX7" s="63">
        <f>BY7/BW7</f>
        <v/>
      </c>
      <c r="BY7" s="63" t="n"/>
      <c r="BZ7" s="63" t="n"/>
      <c r="CA7" s="63">
        <f>CB7/BZ7</f>
        <v/>
      </c>
      <c r="CB7" s="63" t="n"/>
      <c r="CC7" s="63" t="n"/>
      <c r="CD7" s="63">
        <f>CE7/CC7</f>
        <v/>
      </c>
      <c r="CE7" s="63" t="n"/>
      <c r="CF7" s="63" t="n"/>
      <c r="CG7" s="63">
        <f>CH7/CF7</f>
        <v/>
      </c>
      <c r="CH7" s="63" t="n"/>
      <c r="CI7" s="63" t="n"/>
      <c r="CJ7" s="63">
        <f>CK7/CI7</f>
        <v/>
      </c>
      <c r="CK7" s="63" t="n"/>
      <c r="CL7" s="63" t="n"/>
      <c r="CM7" s="63">
        <f>CN7/CL7</f>
        <v/>
      </c>
      <c r="CN7" s="63" t="n"/>
      <c r="CO7" s="63" t="n"/>
      <c r="CP7" s="63">
        <f>CQ7/CO7</f>
        <v/>
      </c>
      <c r="CQ7" s="63" t="n"/>
      <c r="CR7" s="63" t="n"/>
      <c r="CS7" s="63">
        <f>CT7/CR7</f>
        <v/>
      </c>
      <c r="CT7" s="63" t="n"/>
      <c r="CU7" s="63" t="n"/>
      <c r="CV7" s="63">
        <f>CW7/CU7</f>
        <v/>
      </c>
      <c r="CW7" s="63" t="n"/>
    </row>
    <row r="8">
      <c r="A8" s="13" t="n">
        <v>5</v>
      </c>
      <c r="B8" s="13" t="n">
        <v>3030219</v>
      </c>
      <c r="C8" s="13" t="inlineStr">
        <is>
          <t>食品类</t>
        </is>
      </c>
      <c r="D8" s="13" t="inlineStr">
        <is>
          <t>牛前夹</t>
        </is>
      </c>
      <c r="E8" s="13" t="inlineStr">
        <is>
          <t>斤</t>
        </is>
      </c>
      <c r="F8" s="6">
        <f>I8+L8+O8+R8+U8+X8+AA8+AD8+AG8+AJ8+AM8+AP8+AS8+AV8+AY8+BB8+BE8+BH8+BK8+BN8+BQ8+BT8+BW8+BZ8+CC8+CF8+CI8+CL8+CO8+CR8+CU8</f>
        <v/>
      </c>
      <c r="G8" s="6">
        <f>H8/F8</f>
        <v/>
      </c>
      <c r="H8" s="6">
        <f>K8+N8+Q8+T8+W8+Z8+AC8+AF8+AI8+AL8+AO8+AR8+AU8+AX8+BA8+BD8+BG8+BJ8+BM8+BP8+BS8+BV8+BY8+CB8+CE8+CH8+CK8+CN8+CQ8+CT8+CW8</f>
        <v/>
      </c>
      <c r="I8" s="55" t="n"/>
      <c r="J8" s="55">
        <f>K8/I8</f>
        <v/>
      </c>
      <c r="K8" s="55" t="n"/>
      <c r="L8" s="58" t="n"/>
      <c r="M8" s="58">
        <f>N8/L8</f>
        <v/>
      </c>
      <c r="N8" s="58" t="n"/>
      <c r="O8" s="55" t="n"/>
      <c r="P8" s="55">
        <f>Q8/O8</f>
        <v/>
      </c>
      <c r="Q8" s="55" t="n"/>
      <c r="R8" s="58" t="n"/>
      <c r="S8" s="58">
        <f>T8/R8</f>
        <v/>
      </c>
      <c r="T8" s="58" t="n"/>
      <c r="U8" s="55" t="n"/>
      <c r="V8" s="55">
        <f>W8/U8</f>
        <v/>
      </c>
      <c r="W8" s="55" t="n"/>
      <c r="X8" s="58" t="n"/>
      <c r="Y8" s="58">
        <f>Z8/X8</f>
        <v/>
      </c>
      <c r="Z8" s="58" t="n"/>
      <c r="AA8" s="55" t="n"/>
      <c r="AB8" s="55">
        <f>AC8/AA8</f>
        <v/>
      </c>
      <c r="AC8" s="55" t="n"/>
      <c r="AD8" s="58" t="n"/>
      <c r="AE8" s="58">
        <f>AF8/AD8</f>
        <v/>
      </c>
      <c r="AF8" s="58" t="n"/>
      <c r="AG8" s="55" t="n"/>
      <c r="AH8" s="55">
        <f>AI8/AG8</f>
        <v/>
      </c>
      <c r="AI8" s="55" t="n"/>
      <c r="AJ8" s="58" t="n"/>
      <c r="AK8" s="58">
        <f>AL8/AJ8</f>
        <v/>
      </c>
      <c r="AL8" s="58" t="n"/>
      <c r="AM8" s="55" t="n"/>
      <c r="AN8" s="55">
        <f>AO8/AM8</f>
        <v/>
      </c>
      <c r="AO8" s="55" t="n"/>
      <c r="AP8" s="58" t="n"/>
      <c r="AQ8" s="58">
        <f>AR8/AP8</f>
        <v/>
      </c>
      <c r="AR8" s="58" t="n"/>
      <c r="AS8" s="55" t="n"/>
      <c r="AT8" s="55">
        <f>AU8/AS8</f>
        <v/>
      </c>
      <c r="AU8" s="55" t="n"/>
      <c r="AV8" s="58" t="n"/>
      <c r="AW8" s="58">
        <f>AX8/AV8</f>
        <v/>
      </c>
      <c r="AX8" s="58" t="n"/>
      <c r="AY8" s="55" t="n"/>
      <c r="AZ8" s="55">
        <f>BA8/AY8</f>
        <v/>
      </c>
      <c r="BA8" s="55" t="n"/>
      <c r="BB8" s="58" t="n"/>
      <c r="BC8" s="58">
        <f>BD8/BB8</f>
        <v/>
      </c>
      <c r="BD8" s="58" t="n"/>
      <c r="BE8" s="55" t="n"/>
      <c r="BF8" s="55">
        <f>BG8/BE8</f>
        <v/>
      </c>
      <c r="BG8" s="55" t="n"/>
      <c r="BH8" s="58" t="n"/>
      <c r="BI8" s="58">
        <f>BJ8/BH8</f>
        <v/>
      </c>
      <c r="BJ8" s="58" t="n"/>
      <c r="BK8" s="55" t="n"/>
      <c r="BL8" s="55">
        <f>BM8/BK8</f>
        <v/>
      </c>
      <c r="BM8" s="55" t="n"/>
      <c r="BN8" s="58" t="n"/>
      <c r="BO8" s="58">
        <f>BP8/BN8</f>
        <v/>
      </c>
      <c r="BP8" s="58" t="n"/>
      <c r="BQ8" s="55" t="n"/>
      <c r="BR8" s="55">
        <f>BS8/BQ8</f>
        <v/>
      </c>
      <c r="BS8" s="55" t="n"/>
      <c r="BT8" s="58" t="n"/>
      <c r="BU8" s="58">
        <f>BV8/BT8</f>
        <v/>
      </c>
      <c r="BV8" s="58" t="n"/>
      <c r="BW8" s="55" t="n"/>
      <c r="BX8" s="55">
        <f>BY8/BW8</f>
        <v/>
      </c>
      <c r="BY8" s="55" t="n"/>
      <c r="BZ8" s="58" t="n"/>
      <c r="CA8" s="58">
        <f>CB8/BZ8</f>
        <v/>
      </c>
      <c r="CB8" s="58" t="n"/>
      <c r="CC8" s="55" t="n"/>
      <c r="CD8" s="55">
        <f>CE8/CC8</f>
        <v/>
      </c>
      <c r="CE8" s="55" t="n"/>
      <c r="CF8" s="58" t="n"/>
      <c r="CG8" s="58">
        <f>CH8/CF8</f>
        <v/>
      </c>
      <c r="CH8" s="58" t="n"/>
      <c r="CI8" s="55" t="n"/>
      <c r="CJ8" s="55">
        <f>CK8/CI8</f>
        <v/>
      </c>
      <c r="CK8" s="55" t="n"/>
      <c r="CL8" s="58" t="n"/>
      <c r="CM8" s="58">
        <f>CN8/CL8</f>
        <v/>
      </c>
      <c r="CN8" s="58" t="n"/>
      <c r="CO8" s="55" t="n"/>
      <c r="CP8" s="55">
        <f>CQ8/CO8</f>
        <v/>
      </c>
      <c r="CQ8" s="55" t="n"/>
      <c r="CR8" s="58" t="n"/>
      <c r="CS8" s="58">
        <f>CT8/CR8</f>
        <v/>
      </c>
      <c r="CT8" s="58" t="n"/>
      <c r="CU8" s="55" t="n"/>
      <c r="CV8" s="55">
        <f>CW8/CU8</f>
        <v/>
      </c>
      <c r="CW8" s="55" t="n"/>
    </row>
    <row r="9">
      <c r="A9" s="30" t="n">
        <v>6</v>
      </c>
      <c r="B9" s="31" t="n">
        <v>3024831</v>
      </c>
      <c r="C9" s="13" t="inlineStr">
        <is>
          <t>食品类</t>
        </is>
      </c>
      <c r="D9" s="31" t="inlineStr">
        <is>
          <t>鲜牛腩</t>
        </is>
      </c>
      <c r="E9" s="13" t="inlineStr">
        <is>
          <t>斤</t>
        </is>
      </c>
      <c r="F9" s="6">
        <f>I9+L9+O9+R9+U9+X9+AA9+AD9+AG9+AJ9+AM9+AP9+AS9+AV9+AY9+BB9+BE9+BH9+BK9+BN9+BQ9+BT9+BW9+BZ9+CC9+CF9+CI9+CL9+CO9+CR9+CU9</f>
        <v/>
      </c>
      <c r="G9" s="6">
        <f>H9/F9</f>
        <v/>
      </c>
      <c r="H9" s="6">
        <f>K9+N9+Q9+T9+W9+Z9+AC9+AF9+AI9+AL9+AO9+AR9+AU9+AX9+BA9+BD9+BG9+BJ9+BM9+BP9+BS9+BV9+BY9+CB9+CE9+CH9+CK9+CN9+CQ9+CT9+CW9</f>
        <v/>
      </c>
      <c r="I9" s="55" t="n"/>
      <c r="J9" s="55">
        <f>K9/I9</f>
        <v/>
      </c>
      <c r="K9" s="55" t="n"/>
      <c r="L9" s="58" t="n"/>
      <c r="M9" s="58">
        <f>N9/L9</f>
        <v/>
      </c>
      <c r="N9" s="58" t="n"/>
      <c r="O9" s="55" t="n"/>
      <c r="P9" s="55">
        <f>Q9/O9</f>
        <v/>
      </c>
      <c r="Q9" s="55" t="n"/>
      <c r="R9" s="58" t="n"/>
      <c r="S9" s="58">
        <f>T9/R9</f>
        <v/>
      </c>
      <c r="T9" s="58" t="n"/>
      <c r="U9" s="55" t="n"/>
      <c r="V9" s="55">
        <f>W9/U9</f>
        <v/>
      </c>
      <c r="W9" s="55" t="n"/>
      <c r="X9" s="58" t="n"/>
      <c r="Y9" s="58">
        <f>Z9/X9</f>
        <v/>
      </c>
      <c r="Z9" s="58" t="n"/>
      <c r="AA9" s="55" t="n"/>
      <c r="AB9" s="55">
        <f>AC9/AA9</f>
        <v/>
      </c>
      <c r="AC9" s="55" t="n"/>
      <c r="AD9" s="58" t="n"/>
      <c r="AE9" s="58">
        <f>AF9/AD9</f>
        <v/>
      </c>
      <c r="AF9" s="58" t="n"/>
      <c r="AG9" s="55" t="n"/>
      <c r="AH9" s="55">
        <f>AI9/AG9</f>
        <v/>
      </c>
      <c r="AI9" s="55" t="n"/>
      <c r="AJ9" s="58" t="n"/>
      <c r="AK9" s="58">
        <f>AL9/AJ9</f>
        <v/>
      </c>
      <c r="AL9" s="58" t="n"/>
      <c r="AM9" s="55" t="n"/>
      <c r="AN9" s="55">
        <f>AO9/AM9</f>
        <v/>
      </c>
      <c r="AO9" s="55" t="n"/>
      <c r="AP9" s="58" t="n"/>
      <c r="AQ9" s="58">
        <f>AR9/AP9</f>
        <v/>
      </c>
      <c r="AR9" s="58" t="n"/>
      <c r="AS9" s="55" t="n"/>
      <c r="AT9" s="55">
        <f>AU9/AS9</f>
        <v/>
      </c>
      <c r="AU9" s="55" t="n"/>
      <c r="AV9" s="58" t="n"/>
      <c r="AW9" s="58">
        <f>AX9/AV9</f>
        <v/>
      </c>
      <c r="AX9" s="58" t="n"/>
      <c r="AY9" s="55" t="n"/>
      <c r="AZ9" s="55">
        <f>BA9/AY9</f>
        <v/>
      </c>
      <c r="BA9" s="55" t="n"/>
      <c r="BB9" s="58" t="n"/>
      <c r="BC9" s="58">
        <f>BD9/BB9</f>
        <v/>
      </c>
      <c r="BD9" s="58" t="n"/>
      <c r="BE9" s="55" t="n"/>
      <c r="BF9" s="55">
        <f>BG9/BE9</f>
        <v/>
      </c>
      <c r="BG9" s="55" t="n"/>
      <c r="BH9" s="58" t="n"/>
      <c r="BI9" s="58">
        <f>BJ9/BH9</f>
        <v/>
      </c>
      <c r="BJ9" s="58" t="n"/>
      <c r="BK9" s="55" t="n"/>
      <c r="BL9" s="55">
        <f>BM9/BK9</f>
        <v/>
      </c>
      <c r="BM9" s="55" t="n"/>
      <c r="BN9" s="58" t="n"/>
      <c r="BO9" s="58">
        <f>BP9/BN9</f>
        <v/>
      </c>
      <c r="BP9" s="58" t="n"/>
      <c r="BQ9" s="55" t="n"/>
      <c r="BR9" s="55">
        <f>BS9/BQ9</f>
        <v/>
      </c>
      <c r="BS9" s="55" t="n"/>
      <c r="BT9" s="58" t="n"/>
      <c r="BU9" s="58">
        <f>BV9/BT9</f>
        <v/>
      </c>
      <c r="BV9" s="58" t="n"/>
      <c r="BW9" s="55" t="n"/>
      <c r="BX9" s="55">
        <f>BY9/BW9</f>
        <v/>
      </c>
      <c r="BY9" s="55" t="n"/>
      <c r="BZ9" s="58" t="n"/>
      <c r="CA9" s="58">
        <f>CB9/BZ9</f>
        <v/>
      </c>
      <c r="CB9" s="58" t="n"/>
      <c r="CC9" s="55" t="n"/>
      <c r="CD9" s="55">
        <f>CE9/CC9</f>
        <v/>
      </c>
      <c r="CE9" s="55" t="n"/>
      <c r="CF9" s="58" t="n"/>
      <c r="CG9" s="58">
        <f>CH9/CF9</f>
        <v/>
      </c>
      <c r="CH9" s="58" t="n"/>
      <c r="CI9" s="55" t="n"/>
      <c r="CJ9" s="55">
        <f>CK9/CI9</f>
        <v/>
      </c>
      <c r="CK9" s="55" t="n"/>
      <c r="CL9" s="58" t="n"/>
      <c r="CM9" s="58">
        <f>CN9/CL9</f>
        <v/>
      </c>
      <c r="CN9" s="58" t="n"/>
      <c r="CO9" s="55" t="n"/>
      <c r="CP9" s="55">
        <f>CQ9/CO9</f>
        <v/>
      </c>
      <c r="CQ9" s="55" t="n"/>
      <c r="CR9" s="58" t="n"/>
      <c r="CS9" s="58">
        <f>CT9/CR9</f>
        <v/>
      </c>
      <c r="CT9" s="58" t="n"/>
      <c r="CU9" s="55" t="n"/>
      <c r="CV9" s="55">
        <f>CW9/CU9</f>
        <v/>
      </c>
      <c r="CW9" s="55" t="n"/>
    </row>
    <row r="10">
      <c r="A10" s="6" t="inlineStr">
        <is>
          <t>合计</t>
        </is>
      </c>
      <c r="B10" s="7" t="n"/>
      <c r="C10" s="7" t="n"/>
      <c r="D10" s="7" t="n"/>
      <c r="E10" s="8" t="n"/>
      <c r="F10" s="6">
        <f>SUM(F4:F9)</f>
        <v/>
      </c>
      <c r="G10" s="6" t="n"/>
      <c r="H10" s="6">
        <f>SUM(H4:H9)</f>
        <v/>
      </c>
      <c r="I10" s="55" t="n"/>
      <c r="J10" s="55" t="n"/>
      <c r="K10" s="128">
        <f>SUM(K4:K8)</f>
        <v/>
      </c>
      <c r="L10" s="129" t="n"/>
      <c r="M10" s="129" t="n"/>
      <c r="N10" s="129">
        <f>SUM(N4:N8)</f>
        <v/>
      </c>
      <c r="O10" s="128" t="n"/>
      <c r="P10" s="128" t="n"/>
      <c r="Q10" s="128">
        <f>SUM(Q4:Q8)</f>
        <v/>
      </c>
      <c r="R10" s="129" t="n"/>
      <c r="S10" s="129" t="n"/>
      <c r="T10" s="129">
        <f>SUM(T4:T8)</f>
        <v/>
      </c>
      <c r="U10" s="128" t="n"/>
      <c r="V10" s="128" t="n"/>
      <c r="W10" s="128">
        <f>SUM(W4:W8)</f>
        <v/>
      </c>
      <c r="X10" s="129" t="n"/>
      <c r="Y10" s="129" t="n"/>
      <c r="Z10" s="129">
        <f>SUM(Z4:Z8)</f>
        <v/>
      </c>
      <c r="AA10" s="128" t="n"/>
      <c r="AB10" s="128" t="n"/>
      <c r="AC10" s="128">
        <f>SUM(AC4:AC8)</f>
        <v/>
      </c>
      <c r="AD10" s="129" t="n"/>
      <c r="AE10" s="129" t="n"/>
      <c r="AF10" s="129">
        <f>SUM(AF4:AF8)</f>
        <v/>
      </c>
      <c r="AG10" s="128" t="n"/>
      <c r="AH10" s="128" t="n"/>
      <c r="AI10" s="128">
        <f>SUM(AI4:AI8)</f>
        <v/>
      </c>
      <c r="AJ10" s="129" t="n"/>
      <c r="AK10" s="129" t="n"/>
      <c r="AL10" s="129">
        <f>SUM(AL4:AL8)</f>
        <v/>
      </c>
      <c r="AM10" s="128" t="n"/>
      <c r="AN10" s="128" t="n"/>
      <c r="AO10" s="128">
        <f>SUM(AO4:AO9)</f>
        <v/>
      </c>
      <c r="AP10" s="129" t="n"/>
      <c r="AQ10" s="129" t="n"/>
      <c r="AR10" s="129">
        <f>SUM(AR4:AR8)</f>
        <v/>
      </c>
      <c r="AS10" s="128" t="n"/>
      <c r="AT10" s="128" t="n"/>
      <c r="AU10" s="128">
        <f>SUM(AU4:AU9)</f>
        <v/>
      </c>
      <c r="AV10" s="129" t="n"/>
      <c r="AW10" s="129" t="n"/>
      <c r="AX10" s="129">
        <f>SUM(AX4:AX8)</f>
        <v/>
      </c>
      <c r="AY10" s="128" t="n"/>
      <c r="AZ10" s="128" t="n"/>
      <c r="BA10" s="128">
        <f>SUM(BA4:BA8)</f>
        <v/>
      </c>
      <c r="BB10" s="129" t="n"/>
      <c r="BC10" s="129" t="n"/>
      <c r="BD10" s="129">
        <f>SUM(BD4:BD8)</f>
        <v/>
      </c>
      <c r="BE10" s="128" t="n"/>
      <c r="BF10" s="128" t="n"/>
      <c r="BG10" s="128">
        <f>SUM(BG4:BG8)</f>
        <v/>
      </c>
      <c r="BH10" s="129" t="n"/>
      <c r="BI10" s="129" t="n"/>
      <c r="BJ10" s="129">
        <f>SUM(BJ4:BJ8)</f>
        <v/>
      </c>
      <c r="BK10" s="128" t="n"/>
      <c r="BL10" s="128" t="n"/>
      <c r="BM10" s="128">
        <f>SUM(BM4:BM8)</f>
        <v/>
      </c>
      <c r="BN10" s="129" t="n"/>
      <c r="BO10" s="129" t="n"/>
      <c r="BP10" s="129">
        <f>SUM(BP4:BP8)</f>
        <v/>
      </c>
      <c r="BQ10" s="128" t="n"/>
      <c r="BR10" s="128" t="n"/>
      <c r="BS10" s="128">
        <f>SUM(BS4:BS8)</f>
        <v/>
      </c>
      <c r="BT10" s="129" t="n"/>
      <c r="BU10" s="129" t="n"/>
      <c r="BV10" s="129">
        <f>SUM(BV4:BV8)</f>
        <v/>
      </c>
      <c r="BW10" s="128" t="n"/>
      <c r="BX10" s="128" t="n"/>
      <c r="BY10" s="128">
        <f>SUM(BY4:BY8)</f>
        <v/>
      </c>
      <c r="BZ10" s="129" t="n"/>
      <c r="CA10" s="129" t="n"/>
      <c r="CB10" s="129">
        <f>SUM(CB4:CB8)</f>
        <v/>
      </c>
      <c r="CC10" s="128" t="n"/>
      <c r="CD10" s="128" t="n"/>
      <c r="CE10" s="128">
        <f>SUM(CE4:CE8)</f>
        <v/>
      </c>
      <c r="CF10" s="129" t="n"/>
      <c r="CG10" s="129" t="n"/>
      <c r="CH10" s="129">
        <f>SUM(CH4:CH8)</f>
        <v/>
      </c>
      <c r="CI10" s="128" t="n"/>
      <c r="CJ10" s="128" t="n"/>
      <c r="CK10" s="128">
        <f>SUM(CK4:CK8)</f>
        <v/>
      </c>
      <c r="CL10" s="129" t="n"/>
      <c r="CM10" s="129" t="n"/>
      <c r="CN10" s="129">
        <f>SUM(CN4:CN8)</f>
        <v/>
      </c>
      <c r="CO10" s="128" t="n"/>
      <c r="CP10" s="128" t="n"/>
      <c r="CQ10" s="128">
        <f>SUM(CQ4:CQ8)</f>
        <v/>
      </c>
      <c r="CR10" s="129" t="n"/>
      <c r="CS10" s="129" t="n"/>
      <c r="CT10" s="129">
        <f>SUM(CT4:CT8)</f>
        <v/>
      </c>
      <c r="CU10" s="128" t="n"/>
      <c r="CV10" s="128" t="n"/>
      <c r="CW10" s="128">
        <f>SUM(CW4:CW8)</f>
        <v/>
      </c>
    </row>
    <row r="12">
      <c r="S12" s="0" t="inlineStr">
        <is>
          <t>.</t>
        </is>
      </c>
      <c r="W12" s="125" t="inlineStr">
        <is>
          <t>.</t>
        </is>
      </c>
      <c r="AX12" s="125">
        <f>1448-1388</f>
        <v/>
      </c>
    </row>
    <row r="13">
      <c r="H13" s="74" t="n"/>
      <c r="BA13" s="125" t="inlineStr">
        <is>
          <t>.</t>
        </is>
      </c>
      <c r="BH13" s="0" t="inlineStr">
        <is>
          <t>我们没。</t>
        </is>
      </c>
      <c r="BY13" s="125" t="inlineStr">
        <is>
          <t>.</t>
        </is>
      </c>
      <c r="CH13" s="125">
        <f>483+847</f>
        <v/>
      </c>
    </row>
    <row r="14">
      <c r="H14" s="75" t="n"/>
      <c r="AR14" s="125">
        <f>73+467+460+262+31</f>
        <v/>
      </c>
      <c r="AU14" s="125">
        <f>932/41</f>
        <v/>
      </c>
      <c r="AX14" s="125">
        <f>66+358+992+32</f>
        <v/>
      </c>
      <c r="BY14" s="125" t="inlineStr">
        <is>
          <t>.</t>
        </is>
      </c>
      <c r="CH14" s="125">
        <f>CH13-CH10</f>
        <v/>
      </c>
      <c r="CQ14" s="125" t="inlineStr">
        <is>
          <t>.</t>
        </is>
      </c>
      <c r="CU14" s="0" t="inlineStr">
        <is>
          <t>.</t>
        </is>
      </c>
    </row>
    <row r="15">
      <c r="H15" s="75" t="n"/>
      <c r="Q15" s="125" t="inlineStr">
        <is>
          <t>.</t>
        </is>
      </c>
      <c r="T15" s="125" t="inlineStr">
        <is>
          <t>.</t>
        </is>
      </c>
    </row>
    <row r="16">
      <c r="W16" s="125" t="inlineStr">
        <is>
          <t>.</t>
        </is>
      </c>
      <c r="AV16" s="0" t="inlineStr">
        <is>
          <t>.</t>
        </is>
      </c>
      <c r="BS16" s="125" t="inlineStr">
        <is>
          <t>.</t>
        </is>
      </c>
    </row>
  </sheetData>
  <mergeCells count="39">
    <mergeCell ref="U2:W2"/>
    <mergeCell ref="AG2:AI2"/>
    <mergeCell ref="BW2:BY2"/>
    <mergeCell ref="BH2:BJ2"/>
    <mergeCell ref="CR2:CT2"/>
    <mergeCell ref="CI2:CK2"/>
    <mergeCell ref="CU2:CW2"/>
    <mergeCell ref="F2:H2"/>
    <mergeCell ref="B2:B3"/>
    <mergeCell ref="D2:D3"/>
    <mergeCell ref="AS2:AU2"/>
    <mergeCell ref="BT2:BV2"/>
    <mergeCell ref="AY2:BA2"/>
    <mergeCell ref="BE2:BG2"/>
    <mergeCell ref="AD2:AF2"/>
    <mergeCell ref="AP2:AR2"/>
    <mergeCell ref="BQ2:BS2"/>
    <mergeCell ref="A2:A3"/>
    <mergeCell ref="C2:C3"/>
    <mergeCell ref="O2:Q2"/>
    <mergeCell ref="E2:E3"/>
    <mergeCell ref="BK2:BM2"/>
    <mergeCell ref="AA2:AC2"/>
    <mergeCell ref="BB2:BD2"/>
    <mergeCell ref="R2:T2"/>
    <mergeCell ref="CC2:CE2"/>
    <mergeCell ref="CO2:CQ2"/>
    <mergeCell ref="BN2:BP2"/>
    <mergeCell ref="A1:CT1"/>
    <mergeCell ref="L2:N2"/>
    <mergeCell ref="AM2:AO2"/>
    <mergeCell ref="X2:Z2"/>
    <mergeCell ref="AJ2:AL2"/>
    <mergeCell ref="I2:K2"/>
    <mergeCell ref="BZ2:CB2"/>
    <mergeCell ref="CL2:CN2"/>
    <mergeCell ref="A10:E10"/>
    <mergeCell ref="CF2:CH2"/>
    <mergeCell ref="AV2:A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W143"/>
  <sheetViews>
    <sheetView zoomScale="110" zoomScaleNormal="110" workbookViewId="0">
      <pane xSplit="8" ySplit="2" topLeftCell="U36" activePane="bottomRight" state="frozen"/>
      <selection activeCell="A1" sqref="A1"/>
      <selection pane="topRight" activeCell="A1" sqref="A1"/>
      <selection pane="bottomLeft" activeCell="A1" sqref="A1"/>
      <selection pane="bottomRight" activeCell="D89" sqref="D89"/>
    </sheetView>
  </sheetViews>
  <sheetFormatPr baseColWidth="8" defaultColWidth="8.891666666666669" defaultRowHeight="13.5"/>
  <cols>
    <col width="9.133333333333329" customWidth="1" style="3" min="1" max="1"/>
    <col width="8.891666666666669" customWidth="1" style="3" min="2" max="2"/>
    <col width="7.44166666666667" customWidth="1" style="3" min="3" max="3"/>
    <col width="14.5583333333333" customWidth="1" style="3" min="4" max="4"/>
    <col width="5.10833333333333" customWidth="1" style="3" min="5" max="5"/>
    <col width="7.89166666666667" customWidth="1" style="3" min="6" max="6"/>
    <col width="6.10833333333333" customWidth="1" style="3" min="7" max="7"/>
    <col width="9.66666666666667" customWidth="1" style="3" min="8" max="8"/>
    <col width="7.56666666666667" customWidth="1" style="3" min="9" max="9"/>
    <col width="6" customWidth="1" style="3" min="10" max="10"/>
    <col width="5.775" customWidth="1" style="125" min="11" max="11"/>
    <col width="3.775" customWidth="1" style="3" min="12" max="12"/>
    <col width="6.33333333333333" customWidth="1" style="3" min="13" max="13"/>
    <col width="5.775" customWidth="1" style="125" min="14" max="14"/>
    <col width="5.44166666666667" customWidth="1" style="3" min="15" max="15"/>
    <col width="6" customWidth="1" style="3" min="16" max="16"/>
    <col width="5.775" customWidth="1" style="125" min="17" max="17"/>
    <col width="4.15833333333333" customWidth="1" style="3" min="18" max="18"/>
    <col width="10.775" customWidth="1" style="3" min="19" max="19"/>
    <col width="5.775" customWidth="1" style="125" min="20" max="20"/>
    <col width="3.775" customWidth="1" style="3" min="21" max="22"/>
    <col width="12" customWidth="1" style="125" min="23" max="23"/>
    <col width="3.775" customWidth="1" style="3" min="24" max="25"/>
    <col width="6.89166666666667" customWidth="1" style="125" min="26" max="26"/>
    <col width="3.775" customWidth="1" style="3" min="27" max="28"/>
    <col width="6.775" customWidth="1" style="125" min="29" max="29"/>
    <col width="3.775" customWidth="1" style="3" min="30" max="31"/>
    <col width="7.10833333333333" customWidth="1" style="125" min="32" max="32"/>
    <col width="3.775" customWidth="1" style="3" min="33" max="34"/>
    <col width="5.775" customWidth="1" style="125" min="35" max="35"/>
    <col width="3.775" customWidth="1" style="3" min="36" max="37"/>
    <col width="5.775" customWidth="1" style="125" min="38" max="38"/>
    <col width="3.775" customWidth="1" style="3" min="39" max="40"/>
    <col width="5.775" customWidth="1" style="125" min="41" max="41"/>
    <col width="3.775" customWidth="1" style="3" min="42" max="43"/>
    <col width="5.775" customWidth="1" style="125" min="44" max="44"/>
    <col width="3.775" customWidth="1" style="3" min="45" max="46"/>
    <col width="5.775" customWidth="1" style="125" min="47" max="47"/>
    <col width="3.775" customWidth="1" style="3" min="48" max="49"/>
    <col width="5.775" customWidth="1" style="125" min="50" max="50"/>
    <col width="3.775" customWidth="1" style="3" min="51" max="52"/>
    <col width="5.775" customWidth="1" style="125" min="53" max="53"/>
    <col width="3.775" customWidth="1" style="3" min="54" max="55"/>
    <col width="5.775" customWidth="1" style="125" min="56" max="56"/>
    <col width="3.775" customWidth="1" style="3" min="57" max="58"/>
    <col width="5.775" customWidth="1" style="125" min="59" max="59"/>
    <col width="3.775" customWidth="1" style="3" min="60" max="61"/>
    <col width="5.775" customWidth="1" style="125" min="62" max="62"/>
    <col width="3.775" customWidth="1" style="3" min="63" max="64"/>
    <col width="5.775" customWidth="1" style="125" min="65" max="65"/>
    <col width="3.775" customWidth="1" style="3" min="66" max="67"/>
    <col width="5.775" customWidth="1" style="125" min="68" max="68"/>
    <col width="3.775" customWidth="1" style="3" min="69" max="70"/>
    <col width="5.775" customWidth="1" style="125" min="71" max="71"/>
    <col width="3.775" customWidth="1" style="3" min="72" max="73"/>
    <col width="5.775" customWidth="1" style="125" min="74" max="74"/>
    <col width="3.775" customWidth="1" style="3" min="75" max="76"/>
    <col width="5.775" customWidth="1" style="125" min="77" max="77"/>
    <col width="3.775" customWidth="1" style="3" min="78" max="79"/>
    <col width="5.775" customWidth="1" style="125" min="80" max="80"/>
    <col width="3.775" customWidth="1" style="3" min="81" max="82"/>
    <col width="5.775" customWidth="1" style="125" min="83" max="83"/>
    <col width="3.775" customWidth="1" style="3" min="84" max="85"/>
    <col width="5.775" customWidth="1" style="125" min="86" max="86"/>
    <col width="3.775" customWidth="1" style="3" min="87" max="88"/>
    <col width="5.775" customWidth="1" style="125" min="89" max="89"/>
    <col width="3.775" customWidth="1" style="3" min="90" max="91"/>
    <col width="5.775" customWidth="1" style="125" min="92" max="92"/>
    <col width="3.775" customWidth="1" style="3" min="93" max="94"/>
    <col width="5.775" customWidth="1" style="125" min="95" max="95"/>
    <col width="3.775" customWidth="1" style="3" min="96" max="97"/>
    <col width="5.775" customWidth="1" style="125" min="98" max="98"/>
    <col width="3.775" customWidth="1" style="3" min="99" max="100"/>
    <col width="5.775" customWidth="1" style="3" min="101" max="101"/>
    <col width="8.891666666666669" customWidth="1" style="3" min="102" max="16384"/>
  </cols>
  <sheetData>
    <row r="1">
      <c r="A1" s="6" t="inlineStr">
        <is>
          <t>序号</t>
        </is>
      </c>
      <c r="B1" s="6" t="inlineStr">
        <is>
          <t>物料代码</t>
        </is>
      </c>
      <c r="C1" s="6" t="inlineStr">
        <is>
          <t>类别</t>
        </is>
      </c>
      <c r="D1" s="10" t="inlineStr">
        <is>
          <t>品名</t>
        </is>
      </c>
      <c r="E1" s="10" t="inlineStr">
        <is>
          <t>单位</t>
        </is>
      </c>
      <c r="F1" s="10" t="inlineStr">
        <is>
          <t>合计</t>
        </is>
      </c>
      <c r="G1" s="7" t="n"/>
      <c r="H1" s="8" t="n"/>
      <c r="I1" s="48" t="n">
        <v>46235</v>
      </c>
      <c r="J1" s="7" t="n"/>
      <c r="K1" s="8" t="n"/>
      <c r="L1" s="49" t="n">
        <v>46236</v>
      </c>
      <c r="M1" s="7" t="n"/>
      <c r="N1" s="8" t="n"/>
      <c r="O1" s="48" t="n">
        <v>46237</v>
      </c>
      <c r="P1" s="7" t="n"/>
      <c r="Q1" s="8" t="n"/>
      <c r="R1" s="50" t="n">
        <v>46238</v>
      </c>
      <c r="S1" s="7" t="n"/>
      <c r="T1" s="8" t="n"/>
      <c r="U1" s="48" t="n">
        <v>46239</v>
      </c>
      <c r="V1" s="7" t="n"/>
      <c r="W1" s="8" t="n"/>
      <c r="X1" s="50" t="n">
        <v>46240</v>
      </c>
      <c r="Y1" s="7" t="n"/>
      <c r="Z1" s="8" t="n"/>
      <c r="AA1" s="48" t="n">
        <v>46241</v>
      </c>
      <c r="AB1" s="7" t="n"/>
      <c r="AC1" s="8" t="n"/>
      <c r="AD1" s="50" t="n">
        <v>46242</v>
      </c>
      <c r="AE1" s="7" t="n"/>
      <c r="AF1" s="8" t="n"/>
      <c r="AG1" s="48" t="n">
        <v>46243</v>
      </c>
      <c r="AH1" s="7" t="n"/>
      <c r="AI1" s="8" t="n"/>
      <c r="AJ1" s="50" t="n">
        <v>46244</v>
      </c>
      <c r="AK1" s="7" t="n"/>
      <c r="AL1" s="8" t="n"/>
      <c r="AM1" s="48" t="n">
        <v>46245</v>
      </c>
      <c r="AN1" s="7" t="n"/>
      <c r="AO1" s="8" t="n"/>
      <c r="AP1" s="50" t="n">
        <v>46246</v>
      </c>
      <c r="AQ1" s="7" t="n"/>
      <c r="AR1" s="8" t="n"/>
      <c r="AS1" s="48" t="n">
        <v>46247</v>
      </c>
      <c r="AT1" s="7" t="n"/>
      <c r="AU1" s="8" t="n"/>
      <c r="AV1" s="50" t="n">
        <v>46248</v>
      </c>
      <c r="AW1" s="7" t="n"/>
      <c r="AX1" s="8" t="n"/>
      <c r="AY1" s="48" t="n">
        <v>46249</v>
      </c>
      <c r="AZ1" s="7" t="n"/>
      <c r="BA1" s="8" t="n"/>
      <c r="BB1" s="50" t="n">
        <v>46250</v>
      </c>
      <c r="BC1" s="7" t="n"/>
      <c r="BD1" s="8" t="n"/>
      <c r="BE1" s="48" t="n">
        <v>46251</v>
      </c>
      <c r="BF1" s="7" t="n"/>
      <c r="BG1" s="8" t="n"/>
      <c r="BH1" s="50" t="n">
        <v>46252</v>
      </c>
      <c r="BI1" s="7" t="n"/>
      <c r="BJ1" s="8" t="n"/>
      <c r="BK1" s="49" t="n">
        <v>46253</v>
      </c>
      <c r="BL1" s="7" t="n"/>
      <c r="BM1" s="8" t="n"/>
      <c r="BN1" s="50" t="n">
        <v>46254</v>
      </c>
      <c r="BO1" s="7" t="n"/>
      <c r="BP1" s="8" t="n"/>
      <c r="BQ1" s="48" t="n">
        <v>46255</v>
      </c>
      <c r="BR1" s="7" t="n"/>
      <c r="BS1" s="8" t="n"/>
      <c r="BT1" s="50" t="n">
        <v>46256</v>
      </c>
      <c r="BU1" s="7" t="n"/>
      <c r="BV1" s="8" t="n"/>
      <c r="BW1" s="48" t="n">
        <v>46257</v>
      </c>
      <c r="BX1" s="7" t="n"/>
      <c r="BY1" s="8" t="n"/>
      <c r="BZ1" s="50" t="n">
        <v>46258</v>
      </c>
      <c r="CA1" s="7" t="n"/>
      <c r="CB1" s="8" t="n"/>
      <c r="CC1" s="48" t="n">
        <v>46259</v>
      </c>
      <c r="CD1" s="7" t="n"/>
      <c r="CE1" s="8" t="n"/>
      <c r="CF1" s="50" t="n">
        <v>46260</v>
      </c>
      <c r="CG1" s="7" t="n"/>
      <c r="CH1" s="8" t="n"/>
      <c r="CI1" s="48" t="n">
        <v>46261</v>
      </c>
      <c r="CJ1" s="7" t="n"/>
      <c r="CK1" s="8" t="n"/>
      <c r="CL1" s="50" t="n">
        <v>46262</v>
      </c>
      <c r="CM1" s="7" t="n"/>
      <c r="CN1" s="8" t="n"/>
      <c r="CO1" s="48" t="n">
        <v>46263</v>
      </c>
      <c r="CP1" s="7" t="n"/>
      <c r="CQ1" s="8" t="n"/>
      <c r="CR1" s="50" t="n">
        <v>46264</v>
      </c>
      <c r="CS1" s="7" t="n"/>
      <c r="CT1" s="8" t="n"/>
      <c r="CU1" s="48" t="n">
        <v>46265</v>
      </c>
      <c r="CV1" s="7" t="n"/>
      <c r="CW1" s="8" t="n"/>
    </row>
    <row r="2">
      <c r="A2" s="12" t="n"/>
      <c r="B2" s="12" t="n"/>
      <c r="C2" s="12" t="n"/>
      <c r="D2" s="12" t="n"/>
      <c r="E2" s="12" t="n"/>
      <c r="F2" s="10" t="inlineStr">
        <is>
          <t>数量</t>
        </is>
      </c>
      <c r="G2" s="10" t="inlineStr">
        <is>
          <t>单价</t>
        </is>
      </c>
      <c r="H2" s="10" t="inlineStr">
        <is>
          <t>金额</t>
        </is>
      </c>
      <c r="I2" s="37" t="inlineStr">
        <is>
          <t>数量</t>
        </is>
      </c>
      <c r="J2" s="37" t="inlineStr">
        <is>
          <t>单价</t>
        </is>
      </c>
      <c r="K2" s="126" t="inlineStr">
        <is>
          <t>金额</t>
        </is>
      </c>
      <c r="L2" s="51" t="inlineStr">
        <is>
          <t>数量</t>
        </is>
      </c>
      <c r="M2" s="51" t="inlineStr">
        <is>
          <t>单价</t>
        </is>
      </c>
      <c r="N2" s="130" t="inlineStr">
        <is>
          <t>金额</t>
        </is>
      </c>
      <c r="O2" s="37" t="inlineStr">
        <is>
          <t>数量</t>
        </is>
      </c>
      <c r="P2" s="37" t="inlineStr">
        <is>
          <t>单价</t>
        </is>
      </c>
      <c r="Q2" s="126" t="inlineStr">
        <is>
          <t>金额</t>
        </is>
      </c>
      <c r="R2" s="53" t="inlineStr">
        <is>
          <t>数量</t>
        </is>
      </c>
      <c r="S2" s="53" t="inlineStr">
        <is>
          <t>单价</t>
        </is>
      </c>
      <c r="T2" s="127" t="inlineStr">
        <is>
          <t>金额</t>
        </is>
      </c>
      <c r="U2" s="37" t="inlineStr">
        <is>
          <t>数量</t>
        </is>
      </c>
      <c r="V2" s="37" t="inlineStr">
        <is>
          <t>单价</t>
        </is>
      </c>
      <c r="W2" s="126" t="inlineStr">
        <is>
          <t>金额</t>
        </is>
      </c>
      <c r="X2" s="53" t="inlineStr">
        <is>
          <t>数量</t>
        </is>
      </c>
      <c r="Y2" s="53" t="inlineStr">
        <is>
          <t>单价</t>
        </is>
      </c>
      <c r="Z2" s="127" t="inlineStr">
        <is>
          <t>金额</t>
        </is>
      </c>
      <c r="AA2" s="37" t="inlineStr">
        <is>
          <t>数量</t>
        </is>
      </c>
      <c r="AB2" s="37" t="inlineStr">
        <is>
          <t>单价</t>
        </is>
      </c>
      <c r="AC2" s="126" t="inlineStr">
        <is>
          <t>金额</t>
        </is>
      </c>
      <c r="AD2" s="53" t="inlineStr">
        <is>
          <t>数量</t>
        </is>
      </c>
      <c r="AE2" s="53" t="inlineStr">
        <is>
          <t>单价</t>
        </is>
      </c>
      <c r="AF2" s="127" t="inlineStr">
        <is>
          <t>金额</t>
        </is>
      </c>
      <c r="AG2" s="37" t="inlineStr">
        <is>
          <t>数量</t>
        </is>
      </c>
      <c r="AH2" s="37" t="inlineStr">
        <is>
          <t>单价</t>
        </is>
      </c>
      <c r="AI2" s="126" t="inlineStr">
        <is>
          <t>金额</t>
        </is>
      </c>
      <c r="AJ2" s="53" t="inlineStr">
        <is>
          <t>数量</t>
        </is>
      </c>
      <c r="AK2" s="53" t="inlineStr">
        <is>
          <t>单价</t>
        </is>
      </c>
      <c r="AL2" s="127" t="inlineStr">
        <is>
          <t>金额</t>
        </is>
      </c>
      <c r="AM2" s="37" t="inlineStr">
        <is>
          <t>数量</t>
        </is>
      </c>
      <c r="AN2" s="37" t="inlineStr">
        <is>
          <t>单价</t>
        </is>
      </c>
      <c r="AO2" s="126" t="inlineStr">
        <is>
          <t>金额</t>
        </is>
      </c>
      <c r="AP2" s="53" t="inlineStr">
        <is>
          <t>数量</t>
        </is>
      </c>
      <c r="AQ2" s="53" t="inlineStr">
        <is>
          <t>单价</t>
        </is>
      </c>
      <c r="AR2" s="127" t="inlineStr">
        <is>
          <t>金额</t>
        </is>
      </c>
      <c r="AS2" s="37" t="inlineStr">
        <is>
          <t>数量</t>
        </is>
      </c>
      <c r="AT2" s="37" t="inlineStr">
        <is>
          <t>单价</t>
        </is>
      </c>
      <c r="AU2" s="126" t="inlineStr">
        <is>
          <t>金额</t>
        </is>
      </c>
      <c r="AV2" s="53" t="inlineStr">
        <is>
          <t>数量</t>
        </is>
      </c>
      <c r="AW2" s="53" t="inlineStr">
        <is>
          <t>单价</t>
        </is>
      </c>
      <c r="AX2" s="127" t="inlineStr">
        <is>
          <t>金额</t>
        </is>
      </c>
      <c r="AY2" s="55" t="inlineStr">
        <is>
          <t>数量</t>
        </is>
      </c>
      <c r="AZ2" s="55" t="inlineStr">
        <is>
          <t>单价</t>
        </is>
      </c>
      <c r="BA2" s="55" t="inlineStr">
        <is>
          <t>金额</t>
        </is>
      </c>
      <c r="BB2" s="53" t="inlineStr">
        <is>
          <t>数量</t>
        </is>
      </c>
      <c r="BC2" s="53" t="inlineStr">
        <is>
          <t>单价</t>
        </is>
      </c>
      <c r="BD2" s="127" t="inlineStr">
        <is>
          <t>金额</t>
        </is>
      </c>
      <c r="BE2" s="37" t="inlineStr">
        <is>
          <t>数量</t>
        </is>
      </c>
      <c r="BF2" s="37" t="inlineStr">
        <is>
          <t>单价</t>
        </is>
      </c>
      <c r="BG2" s="126" t="inlineStr">
        <is>
          <t>金额</t>
        </is>
      </c>
      <c r="BH2" s="53" t="inlineStr">
        <is>
          <t>数量</t>
        </is>
      </c>
      <c r="BI2" s="53" t="inlineStr">
        <is>
          <t>单价</t>
        </is>
      </c>
      <c r="BJ2" s="127" t="inlineStr">
        <is>
          <t>金额</t>
        </is>
      </c>
      <c r="BK2" s="51" t="inlineStr">
        <is>
          <t>数量</t>
        </is>
      </c>
      <c r="BL2" s="51" t="inlineStr">
        <is>
          <t>单价</t>
        </is>
      </c>
      <c r="BM2" s="130" t="inlineStr">
        <is>
          <t>金额</t>
        </is>
      </c>
      <c r="BN2" s="53" t="inlineStr">
        <is>
          <t>数量</t>
        </is>
      </c>
      <c r="BO2" s="53" t="inlineStr">
        <is>
          <t>单价</t>
        </is>
      </c>
      <c r="BP2" s="127" t="inlineStr">
        <is>
          <t>金额</t>
        </is>
      </c>
      <c r="BQ2" s="37" t="inlineStr">
        <is>
          <t>数量</t>
        </is>
      </c>
      <c r="BR2" s="37" t="inlineStr">
        <is>
          <t>单价</t>
        </is>
      </c>
      <c r="BS2" s="126" t="inlineStr">
        <is>
          <t>金额</t>
        </is>
      </c>
      <c r="BT2" s="53" t="inlineStr">
        <is>
          <t>数量</t>
        </is>
      </c>
      <c r="BU2" s="53" t="inlineStr">
        <is>
          <t>单价</t>
        </is>
      </c>
      <c r="BV2" s="127" t="inlineStr">
        <is>
          <t>金额</t>
        </is>
      </c>
      <c r="BW2" s="37" t="inlineStr">
        <is>
          <t>数量</t>
        </is>
      </c>
      <c r="BX2" s="37" t="inlineStr">
        <is>
          <t>单价</t>
        </is>
      </c>
      <c r="BY2" s="126" t="inlineStr">
        <is>
          <t>金额</t>
        </is>
      </c>
      <c r="BZ2" s="53" t="inlineStr">
        <is>
          <t>数量</t>
        </is>
      </c>
      <c r="CA2" s="53" t="inlineStr">
        <is>
          <t>单价</t>
        </is>
      </c>
      <c r="CB2" s="127" t="inlineStr">
        <is>
          <t>金额</t>
        </is>
      </c>
      <c r="CC2" s="37" t="inlineStr">
        <is>
          <t>数量</t>
        </is>
      </c>
      <c r="CD2" s="37" t="inlineStr">
        <is>
          <t>单价</t>
        </is>
      </c>
      <c r="CE2" s="126" t="inlineStr">
        <is>
          <t>金额</t>
        </is>
      </c>
      <c r="CF2" s="53" t="inlineStr">
        <is>
          <t>数量</t>
        </is>
      </c>
      <c r="CG2" s="53" t="inlineStr">
        <is>
          <t>单价</t>
        </is>
      </c>
      <c r="CH2" s="127" t="inlineStr">
        <is>
          <t>金额</t>
        </is>
      </c>
      <c r="CI2" s="37" t="inlineStr">
        <is>
          <t>数量</t>
        </is>
      </c>
      <c r="CJ2" s="37" t="inlineStr">
        <is>
          <t>单价</t>
        </is>
      </c>
      <c r="CK2" s="126" t="inlineStr">
        <is>
          <t>金额</t>
        </is>
      </c>
      <c r="CL2" s="53" t="inlineStr">
        <is>
          <t>数量</t>
        </is>
      </c>
      <c r="CM2" s="53" t="inlineStr">
        <is>
          <t>单价</t>
        </is>
      </c>
      <c r="CN2" s="127" t="inlineStr">
        <is>
          <t>金额</t>
        </is>
      </c>
      <c r="CO2" s="37" t="inlineStr">
        <is>
          <t>数量</t>
        </is>
      </c>
      <c r="CP2" s="37" t="inlineStr">
        <is>
          <t>单价</t>
        </is>
      </c>
      <c r="CQ2" s="126" t="inlineStr">
        <is>
          <t>金额</t>
        </is>
      </c>
      <c r="CR2" s="53" t="inlineStr">
        <is>
          <t>数量</t>
        </is>
      </c>
      <c r="CS2" s="53" t="inlineStr">
        <is>
          <t>单价</t>
        </is>
      </c>
      <c r="CT2" s="127" t="inlineStr">
        <is>
          <t>金额</t>
        </is>
      </c>
      <c r="CU2" s="37" t="inlineStr">
        <is>
          <t>数量</t>
        </is>
      </c>
      <c r="CV2" s="37" t="inlineStr">
        <is>
          <t>单价</t>
        </is>
      </c>
      <c r="CW2" s="126" t="inlineStr">
        <is>
          <t>金额</t>
        </is>
      </c>
    </row>
    <row r="3">
      <c r="A3" s="13" t="n">
        <v>1</v>
      </c>
      <c r="B3" s="13" t="inlineStr">
        <is>
          <t>ZC000001</t>
        </is>
      </c>
      <c r="C3" s="13" t="inlineStr">
        <is>
          <t>食品类</t>
        </is>
      </c>
      <c r="D3" s="13" t="inlineStr">
        <is>
          <t>豌豆苗</t>
        </is>
      </c>
      <c r="E3" s="13" t="inlineStr">
        <is>
          <t>斤</t>
        </is>
      </c>
      <c r="F3" s="6">
        <f>I3+L3+O3+R3+U3+X3+AA3+AD3+AG3+AJ3+AM3+AP3+AS3+AV3+AY3+BB3+BE3+BH3+BK3+BN3+BQ3+BT3+BW3+BZ3+CC3+CF3+CI3+CL3+CO3+CR3+CU3</f>
        <v/>
      </c>
      <c r="G3" s="128">
        <f>H3/F3</f>
        <v/>
      </c>
      <c r="H3" s="6">
        <f>K3+N3+Q3+T3+W3+Z3+AC3+AF3+AI3+AL3+AO3+AR3+AU3+AX3+BA3+BD3+BG3+BJ3+BM3+BP3+BS3+BV3+BY3+CB3+CE3+CH3+CK3+CN3+CQ3+CT3+CW3</f>
        <v/>
      </c>
      <c r="I3" s="55" t="n"/>
      <c r="J3" s="55">
        <f>K3/I3</f>
        <v/>
      </c>
      <c r="K3" s="128" t="n"/>
      <c r="L3" s="56" t="n"/>
      <c r="M3" s="56">
        <f>N3/L3</f>
        <v/>
      </c>
      <c r="N3" s="131" t="n"/>
      <c r="O3" s="55" t="n"/>
      <c r="P3" s="55">
        <f>Q3/O3</f>
        <v/>
      </c>
      <c r="Q3" s="128" t="n"/>
      <c r="R3" s="58" t="n"/>
      <c r="S3" s="58">
        <f>T3/R3</f>
        <v/>
      </c>
      <c r="T3" s="129" t="n"/>
      <c r="U3" s="55" t="n"/>
      <c r="V3" s="55">
        <f>W3/U3</f>
        <v/>
      </c>
      <c r="W3" s="128" t="n"/>
      <c r="X3" s="58" t="n"/>
      <c r="Y3" s="58">
        <f>Z3/X3</f>
        <v/>
      </c>
      <c r="Z3" s="129" t="n"/>
      <c r="AA3" s="55" t="n"/>
      <c r="AB3" s="55">
        <f>AC3/AA3</f>
        <v/>
      </c>
      <c r="AC3" s="128" t="n"/>
      <c r="AD3" s="58" t="n"/>
      <c r="AE3" s="58">
        <f>AF3/AD3</f>
        <v/>
      </c>
      <c r="AF3" s="129" t="n"/>
      <c r="AG3" s="55" t="n"/>
      <c r="AH3" s="55">
        <f>AI3/AG3</f>
        <v/>
      </c>
      <c r="AI3" s="128" t="n"/>
      <c r="AJ3" s="58" t="n"/>
      <c r="AK3" s="58">
        <f>AL3/AJ3</f>
        <v/>
      </c>
      <c r="AL3" s="129" t="n"/>
      <c r="AM3" s="55" t="n"/>
      <c r="AN3" s="55">
        <f>AO3/AM3</f>
        <v/>
      </c>
      <c r="AO3" s="128" t="n"/>
      <c r="AP3" s="58" t="n"/>
      <c r="AQ3" s="58">
        <f>AR3/AP3</f>
        <v/>
      </c>
      <c r="AR3" s="129" t="n"/>
      <c r="AS3" s="55" t="n"/>
      <c r="AT3" s="55">
        <f>AU3/AS3</f>
        <v/>
      </c>
      <c r="AU3" s="128" t="n"/>
      <c r="AV3" s="58" t="n"/>
      <c r="AW3" s="58">
        <f>AX3/AV3</f>
        <v/>
      </c>
      <c r="AX3" s="129" t="n"/>
      <c r="AY3" s="55" t="n"/>
      <c r="AZ3" s="55">
        <f>BA3/AY3</f>
        <v/>
      </c>
      <c r="BA3" s="55" t="n"/>
      <c r="BB3" s="58" t="n"/>
      <c r="BC3" s="58">
        <f>BD3/BB3</f>
        <v/>
      </c>
      <c r="BD3" s="58" t="n"/>
      <c r="BE3" s="55" t="n"/>
      <c r="BF3" s="55">
        <f>BG3/BE3</f>
        <v/>
      </c>
      <c r="BG3" s="128" t="n"/>
      <c r="BH3" s="58" t="n"/>
      <c r="BI3" s="58">
        <f>BJ3/BH3</f>
        <v/>
      </c>
      <c r="BJ3" s="129" t="n"/>
      <c r="BK3" s="56" t="n"/>
      <c r="BL3" s="56">
        <f>BM3/BK3</f>
        <v/>
      </c>
      <c r="BM3" s="131" t="n"/>
      <c r="BN3" s="58" t="n"/>
      <c r="BO3" s="58">
        <f>BP3/BN3</f>
        <v/>
      </c>
      <c r="BP3" s="129" t="n"/>
      <c r="BQ3" s="55" t="n"/>
      <c r="BR3" s="55">
        <f>BS3/BQ3</f>
        <v/>
      </c>
      <c r="BS3" s="128" t="n"/>
      <c r="BT3" s="58" t="n"/>
      <c r="BU3" s="58">
        <f>BV3/BT3</f>
        <v/>
      </c>
      <c r="BV3" s="129" t="n"/>
      <c r="BW3" s="55" t="n"/>
      <c r="BX3" s="55">
        <f>BY3/BW3</f>
        <v/>
      </c>
      <c r="BY3" s="128" t="n"/>
      <c r="BZ3" s="58" t="n"/>
      <c r="CA3" s="58">
        <f>CB3/BZ3</f>
        <v/>
      </c>
      <c r="CB3" s="129" t="n"/>
      <c r="CC3" s="55" t="n"/>
      <c r="CD3" s="55">
        <f>CE3/CC3</f>
        <v/>
      </c>
      <c r="CE3" s="128" t="n"/>
      <c r="CF3" s="58" t="n"/>
      <c r="CG3" s="58">
        <f>CH3/CF3</f>
        <v/>
      </c>
      <c r="CH3" s="129" t="n"/>
      <c r="CI3" s="55" t="n"/>
      <c r="CJ3" s="55">
        <f>CK3/CI3</f>
        <v/>
      </c>
      <c r="CK3" s="128" t="n"/>
      <c r="CL3" s="58" t="n"/>
      <c r="CM3" s="58">
        <f>CN3/CL3</f>
        <v/>
      </c>
      <c r="CN3" s="129" t="n"/>
      <c r="CO3" s="55" t="n"/>
      <c r="CP3" s="55">
        <f>CQ3/CO3</f>
        <v/>
      </c>
      <c r="CQ3" s="128" t="n"/>
      <c r="CR3" s="58" t="n"/>
      <c r="CS3" s="58">
        <f>CT3/CR3</f>
        <v/>
      </c>
      <c r="CT3" s="129" t="n"/>
      <c r="CU3" s="55" t="n"/>
      <c r="CV3" s="55">
        <f>CW3/CU3</f>
        <v/>
      </c>
      <c r="CW3" s="55" t="n"/>
    </row>
    <row r="4" ht="13" customHeight="1" s="3">
      <c r="A4" s="13" t="n"/>
      <c r="B4" s="13" t="inlineStr">
        <is>
          <t>ZC000002</t>
        </is>
      </c>
      <c r="C4" s="13" t="inlineStr">
        <is>
          <t>食品类</t>
        </is>
      </c>
      <c r="D4" s="13" t="inlineStr">
        <is>
          <t>去皮蒜米</t>
        </is>
      </c>
      <c r="E4" s="13" t="inlineStr">
        <is>
          <t>斤</t>
        </is>
      </c>
      <c r="F4" s="6">
        <f>I4+L4+O4+R4+U4+X4+AA4+AD4+AG4+AJ4+AM4+AP4+AS4+AV4+AY4+BB4+BE4+BH4+BK4+BN4+BQ4+BT4+BW4+BZ4+CC4+CF4+CI4+CL4+CO4+CR4+CU4</f>
        <v/>
      </c>
      <c r="G4" s="128">
        <f>H4/F4</f>
        <v/>
      </c>
      <c r="H4" s="6">
        <f>K4+N4+Q4+T4+W4+Z4+AC4+AF4+AI4+AL4+AO4+AR4+AU4+AX4+BA4+BD4+BG4+BJ4+BM4+BP4+BS4+BV4+BY4+CB4+CE4+CH4+CK4+CN4+CQ4+CT4+CW4</f>
        <v/>
      </c>
      <c r="I4" s="55" t="n"/>
      <c r="J4" s="55">
        <f>K4/I4</f>
        <v/>
      </c>
      <c r="K4" s="128" t="n"/>
      <c r="L4" s="56" t="n"/>
      <c r="M4" s="56">
        <f>N4/L4</f>
        <v/>
      </c>
      <c r="N4" s="131" t="n"/>
      <c r="O4" s="55" t="n"/>
      <c r="P4" s="132">
        <f>Q4/O4</f>
        <v/>
      </c>
      <c r="Q4" s="128" t="n"/>
      <c r="R4" s="58" t="n"/>
      <c r="S4" s="58">
        <f>T4/R4</f>
        <v/>
      </c>
      <c r="T4" s="129" t="n"/>
      <c r="U4" s="55" t="n"/>
      <c r="V4" s="55">
        <f>W4/U4</f>
        <v/>
      </c>
      <c r="W4" s="128" t="n"/>
      <c r="X4" s="58" t="n"/>
      <c r="Y4" s="58">
        <f>Z4/X4</f>
        <v/>
      </c>
      <c r="Z4" s="129" t="n"/>
      <c r="AA4" s="55" t="n"/>
      <c r="AB4" s="55">
        <f>AC4/AA4</f>
        <v/>
      </c>
      <c r="AC4" s="128" t="n"/>
      <c r="AD4" s="58" t="n"/>
      <c r="AE4" s="58">
        <f>AF4/AD4</f>
        <v/>
      </c>
      <c r="AF4" s="129" t="n"/>
      <c r="AG4" s="55" t="n"/>
      <c r="AH4" s="55">
        <f>AI4/AG4</f>
        <v/>
      </c>
      <c r="AI4" s="128" t="n"/>
      <c r="AJ4" s="58" t="n"/>
      <c r="AK4" s="58">
        <f>AL4/AJ4</f>
        <v/>
      </c>
      <c r="AL4" s="129" t="n"/>
      <c r="AM4" s="55" t="n"/>
      <c r="AN4" s="55">
        <f>AO4/AM4</f>
        <v/>
      </c>
      <c r="AO4" s="128" t="n"/>
      <c r="AP4" s="58" t="n">
        <v>1</v>
      </c>
      <c r="AQ4" s="58">
        <f>AR4/AP4</f>
        <v/>
      </c>
      <c r="AR4" s="129" t="n">
        <v>5</v>
      </c>
      <c r="AS4" s="55" t="n"/>
      <c r="AT4" s="55">
        <f>AU4/AS4</f>
        <v/>
      </c>
      <c r="AU4" s="128" t="n"/>
      <c r="AV4" s="58" t="n"/>
      <c r="AW4" s="58">
        <f>AX4/AV4</f>
        <v/>
      </c>
      <c r="AX4" s="129" t="n"/>
      <c r="AY4" s="55" t="n"/>
      <c r="AZ4" s="55">
        <f>BA4/AY4</f>
        <v/>
      </c>
      <c r="BA4" s="55" t="n"/>
      <c r="BB4" s="58" t="n"/>
      <c r="BC4" s="58">
        <f>BD4/BB4</f>
        <v/>
      </c>
      <c r="BD4" s="58" t="n"/>
      <c r="BE4" s="55" t="n"/>
      <c r="BF4" s="55">
        <f>BG4/BE4</f>
        <v/>
      </c>
      <c r="BG4" s="128" t="n"/>
      <c r="BH4" s="58" t="n"/>
      <c r="BI4" s="58">
        <f>BJ4/BH4</f>
        <v/>
      </c>
      <c r="BJ4" s="129" t="n"/>
      <c r="BK4" s="56" t="n"/>
      <c r="BL4" s="56">
        <f>BM4/BK4</f>
        <v/>
      </c>
      <c r="BM4" s="131" t="n"/>
      <c r="BN4" s="58" t="n"/>
      <c r="BO4" s="58">
        <f>BP4/BN4</f>
        <v/>
      </c>
      <c r="BP4" s="129" t="n"/>
      <c r="BQ4" s="55" t="n"/>
      <c r="BR4" s="55">
        <f>BS4/BQ4</f>
        <v/>
      </c>
      <c r="BS4" s="128" t="n"/>
      <c r="BT4" s="58" t="n"/>
      <c r="BU4" s="58">
        <f>BV4/BT4</f>
        <v/>
      </c>
      <c r="BV4" s="129" t="n"/>
      <c r="BW4" s="55" t="n"/>
      <c r="BX4" s="55">
        <f>BY4/BW4</f>
        <v/>
      </c>
      <c r="BY4" s="128" t="n"/>
      <c r="BZ4" s="58" t="n"/>
      <c r="CA4" s="58">
        <f>CB4/BZ4</f>
        <v/>
      </c>
      <c r="CB4" s="129" t="n"/>
      <c r="CC4" s="55" t="n"/>
      <c r="CD4" s="55">
        <f>CE4/CC4</f>
        <v/>
      </c>
      <c r="CE4" s="128" t="n"/>
      <c r="CF4" s="58" t="n"/>
      <c r="CG4" s="58">
        <f>CH4/CF4</f>
        <v/>
      </c>
      <c r="CH4" s="129" t="n"/>
      <c r="CI4" s="55" t="n"/>
      <c r="CJ4" s="55">
        <f>CK4/CI4</f>
        <v/>
      </c>
      <c r="CK4" s="128" t="n"/>
      <c r="CL4" s="58" t="n"/>
      <c r="CM4" s="58">
        <f>CN4/CL4</f>
        <v/>
      </c>
      <c r="CN4" s="129" t="n"/>
      <c r="CO4" s="55" t="n"/>
      <c r="CP4" s="55">
        <f>CQ4/CO4</f>
        <v/>
      </c>
      <c r="CQ4" s="128" t="n"/>
      <c r="CR4" s="58" t="n"/>
      <c r="CS4" s="58">
        <f>CT4/CR4</f>
        <v/>
      </c>
      <c r="CT4" s="129" t="n"/>
      <c r="CU4" s="55" t="n"/>
      <c r="CV4" s="55">
        <f>CW4/CU4</f>
        <v/>
      </c>
      <c r="CW4" s="55" t="n"/>
    </row>
    <row r="5">
      <c r="A5" s="13" t="n">
        <v>3</v>
      </c>
      <c r="B5" s="13" t="inlineStr">
        <is>
          <t>ZC000003</t>
        </is>
      </c>
      <c r="C5" s="13" t="inlineStr">
        <is>
          <t>食品类</t>
        </is>
      </c>
      <c r="D5" s="13" t="inlineStr">
        <is>
          <t>鱼腥草</t>
        </is>
      </c>
      <c r="E5" s="13" t="inlineStr">
        <is>
          <t>斤</t>
        </is>
      </c>
      <c r="F5" s="6">
        <f>I5+L5+O5+R5+U5+X5+AA5+AD5+AG5+AJ5+AM5+AP5+AS5+AV5+AY5+BB5+BE5+BH5+BK5+BN5+BQ5+BT5+BW5+BZ5+CC5+CF5+CI5+CL5+CO5+CR5+CU5</f>
        <v/>
      </c>
      <c r="G5" s="128">
        <f>H5/F5</f>
        <v/>
      </c>
      <c r="H5" s="6">
        <f>K5+N5+Q5+T5+W5+Z5+AC5+AF5+AI5+AL5+AO5+AR5+AU5+AX5+BA5+BD5+BG5+BJ5+BM5+BP5+BS5+BV5+BY5+CB5+CE5+CH5+CK5+CN5+CQ5+CT5+CW5</f>
        <v/>
      </c>
      <c r="I5" s="55" t="n"/>
      <c r="J5" s="55">
        <f>K5/I5</f>
        <v/>
      </c>
      <c r="K5" s="128" t="n"/>
      <c r="L5" s="56" t="n"/>
      <c r="M5" s="56">
        <f>N5/L5</f>
        <v/>
      </c>
      <c r="N5" s="131" t="n"/>
      <c r="O5" s="55" t="n"/>
      <c r="P5" s="55">
        <f>Q5/O5</f>
        <v/>
      </c>
      <c r="Q5" s="128" t="n"/>
      <c r="R5" s="58" t="n"/>
      <c r="S5" s="58">
        <f>T5/R5</f>
        <v/>
      </c>
      <c r="T5" s="129" t="n"/>
      <c r="U5" s="55" t="n"/>
      <c r="V5" s="55">
        <f>W5/U5</f>
        <v/>
      </c>
      <c r="W5" s="128" t="n"/>
      <c r="X5" s="58" t="n"/>
      <c r="Y5" s="58">
        <f>Z5/X5</f>
        <v/>
      </c>
      <c r="Z5" s="129" t="n"/>
      <c r="AA5" s="55" t="n"/>
      <c r="AB5" s="55">
        <f>AC5/AA5</f>
        <v/>
      </c>
      <c r="AC5" s="128" t="n"/>
      <c r="AD5" s="58" t="n"/>
      <c r="AE5" s="58">
        <f>AF5/AD5</f>
        <v/>
      </c>
      <c r="AF5" s="129" t="n"/>
      <c r="AG5" s="55" t="n"/>
      <c r="AH5" s="55">
        <f>AI5/AG5</f>
        <v/>
      </c>
      <c r="AI5" s="128" t="n"/>
      <c r="AJ5" s="58" t="n"/>
      <c r="AK5" s="58">
        <f>AL5/AJ5</f>
        <v/>
      </c>
      <c r="AL5" s="129" t="n"/>
      <c r="AM5" s="55" t="n"/>
      <c r="AN5" s="55">
        <f>AO5/AM5</f>
        <v/>
      </c>
      <c r="AO5" s="128" t="n"/>
      <c r="AP5" s="58" t="n"/>
      <c r="AQ5" s="58">
        <f>AR5/AP5</f>
        <v/>
      </c>
      <c r="AR5" s="129" t="n"/>
      <c r="AS5" s="55" t="n"/>
      <c r="AT5" s="55">
        <f>AU5/AS5</f>
        <v/>
      </c>
      <c r="AU5" s="128" t="n"/>
      <c r="AV5" s="58" t="n"/>
      <c r="AW5" s="58">
        <f>AX5/AV5</f>
        <v/>
      </c>
      <c r="AX5" s="129" t="n"/>
      <c r="AY5" s="55" t="n"/>
      <c r="AZ5" s="55">
        <f>BA5/AY5</f>
        <v/>
      </c>
      <c r="BA5" s="55" t="n"/>
      <c r="BB5" s="58" t="n"/>
      <c r="BC5" s="58">
        <f>BD5/BB5</f>
        <v/>
      </c>
      <c r="BD5" s="58" t="n"/>
      <c r="BE5" s="55" t="n"/>
      <c r="BF5" s="55">
        <f>BG5/BE5</f>
        <v/>
      </c>
      <c r="BG5" s="128" t="n"/>
      <c r="BH5" s="58" t="n"/>
      <c r="BI5" s="58">
        <f>BJ5/BH5</f>
        <v/>
      </c>
      <c r="BJ5" s="129" t="n"/>
      <c r="BK5" s="56" t="n"/>
      <c r="BL5" s="56">
        <f>BM5/BK5</f>
        <v/>
      </c>
      <c r="BM5" s="131" t="n"/>
      <c r="BN5" s="58" t="n"/>
      <c r="BO5" s="58">
        <f>BP5/BN5</f>
        <v/>
      </c>
      <c r="BP5" s="129" t="n"/>
      <c r="BQ5" s="55" t="n"/>
      <c r="BR5" s="55">
        <f>BS5/BQ5</f>
        <v/>
      </c>
      <c r="BS5" s="128" t="n"/>
      <c r="BT5" s="58" t="n"/>
      <c r="BU5" s="58">
        <f>BV5/BT5</f>
        <v/>
      </c>
      <c r="BV5" s="129" t="n"/>
      <c r="BW5" s="55" t="n"/>
      <c r="BX5" s="55">
        <f>BY5/BW5</f>
        <v/>
      </c>
      <c r="BY5" s="128" t="n"/>
      <c r="BZ5" s="58" t="n"/>
      <c r="CA5" s="58">
        <f>CB5/BZ5</f>
        <v/>
      </c>
      <c r="CB5" s="129" t="n"/>
      <c r="CC5" s="55" t="n"/>
      <c r="CD5" s="55">
        <f>CE5/CC5</f>
        <v/>
      </c>
      <c r="CE5" s="128" t="n"/>
      <c r="CF5" s="58" t="n"/>
      <c r="CG5" s="58">
        <f>CH5/CF5</f>
        <v/>
      </c>
      <c r="CH5" s="129" t="n"/>
      <c r="CI5" s="55" t="n"/>
      <c r="CJ5" s="55">
        <f>CK5/CI5</f>
        <v/>
      </c>
      <c r="CK5" s="128" t="n"/>
      <c r="CL5" s="58" t="n"/>
      <c r="CM5" s="58">
        <f>CN5/CL5</f>
        <v/>
      </c>
      <c r="CN5" s="129" t="n"/>
      <c r="CO5" s="55" t="n"/>
      <c r="CP5" s="55">
        <f>CQ5/CO5</f>
        <v/>
      </c>
      <c r="CQ5" s="128" t="n"/>
      <c r="CR5" s="58" t="n"/>
      <c r="CS5" s="58">
        <f>CT5/CR5</f>
        <v/>
      </c>
      <c r="CT5" s="129" t="n"/>
      <c r="CU5" s="55" t="n"/>
      <c r="CV5" s="55">
        <f>CW5/CU5</f>
        <v/>
      </c>
      <c r="CW5" s="55" t="n"/>
    </row>
    <row r="6" ht="13" customFormat="1" customHeight="1" s="46">
      <c r="A6" s="42" t="n">
        <v>4</v>
      </c>
      <c r="B6" s="42" t="inlineStr">
        <is>
          <t>ZC000004</t>
        </is>
      </c>
      <c r="C6" s="42" t="inlineStr">
        <is>
          <t>食品类</t>
        </is>
      </c>
      <c r="D6" s="42" t="inlineStr">
        <is>
          <t>生姜</t>
        </is>
      </c>
      <c r="E6" s="42" t="inlineStr">
        <is>
          <t>斤</t>
        </is>
      </c>
      <c r="F6" s="61" t="n">
        <v>0</v>
      </c>
      <c r="G6" s="133">
        <f>H6/F6</f>
        <v/>
      </c>
      <c r="H6" s="61" t="n">
        <v>0</v>
      </c>
      <c r="I6" s="63" t="n"/>
      <c r="J6" s="63">
        <f>K6/I6</f>
        <v/>
      </c>
      <c r="K6" s="133" t="n"/>
      <c r="L6" s="56" t="n"/>
      <c r="M6" s="56">
        <f>N6/L6</f>
        <v/>
      </c>
      <c r="N6" s="131" t="n"/>
      <c r="O6" s="63" t="n"/>
      <c r="P6" s="134">
        <f>Q6/O6</f>
        <v/>
      </c>
      <c r="Q6" s="133" t="n"/>
      <c r="R6" s="58" t="n"/>
      <c r="S6" s="58">
        <f>T6/R6</f>
        <v/>
      </c>
      <c r="T6" s="129" t="n"/>
      <c r="U6" s="63" t="n"/>
      <c r="V6" s="63">
        <f>W6/U6</f>
        <v/>
      </c>
      <c r="W6" s="133" t="n"/>
      <c r="X6" s="58" t="n"/>
      <c r="Y6" s="58">
        <f>Z6/X6</f>
        <v/>
      </c>
      <c r="Z6" s="129" t="n"/>
      <c r="AA6" s="63" t="n"/>
      <c r="AB6" s="63">
        <f>AC6/AA6</f>
        <v/>
      </c>
      <c r="AC6" s="133" t="n"/>
      <c r="AD6" s="58" t="n"/>
      <c r="AE6" s="58">
        <f>AF6/AD6</f>
        <v/>
      </c>
      <c r="AF6" s="129" t="n"/>
      <c r="AG6" s="63" t="n"/>
      <c r="AH6" s="63">
        <f>AI6/AG6</f>
        <v/>
      </c>
      <c r="AI6" s="133" t="n"/>
      <c r="AJ6" s="58" t="n"/>
      <c r="AK6" s="58">
        <f>AL6/AJ6</f>
        <v/>
      </c>
      <c r="AL6" s="129" t="n"/>
      <c r="AM6" s="63" t="n"/>
      <c r="AN6" s="63">
        <f>AO6/AM6</f>
        <v/>
      </c>
      <c r="AO6" s="133" t="n"/>
      <c r="AP6" s="58" t="n"/>
      <c r="AQ6" s="58">
        <f>AR6/AP6</f>
        <v/>
      </c>
      <c r="AR6" s="129" t="n"/>
      <c r="AS6" s="63" t="n">
        <v>4</v>
      </c>
      <c r="AT6" s="63">
        <f>AU6/AS6</f>
        <v/>
      </c>
      <c r="AU6" s="133" t="n">
        <v>27</v>
      </c>
      <c r="AV6" s="58" t="n"/>
      <c r="AW6" s="58">
        <f>AX6/AV6</f>
        <v/>
      </c>
      <c r="AX6" s="129" t="n"/>
      <c r="AY6" s="63" t="n"/>
      <c r="AZ6" s="63">
        <f>BA6/AY6</f>
        <v/>
      </c>
      <c r="BA6" s="63" t="n"/>
      <c r="BB6" s="58" t="n"/>
      <c r="BC6" s="58">
        <f>BD6/BB6</f>
        <v/>
      </c>
      <c r="BD6" s="58" t="n"/>
      <c r="BE6" s="63" t="n"/>
      <c r="BF6" s="63">
        <f>BG6/BE6</f>
        <v/>
      </c>
      <c r="BG6" s="133" t="n"/>
      <c r="BH6" s="58" t="n"/>
      <c r="BI6" s="58">
        <f>BJ6/BH6</f>
        <v/>
      </c>
      <c r="BJ6" s="129" t="n"/>
      <c r="BK6" s="56" t="n"/>
      <c r="BL6" s="56">
        <f>BM6/BK6</f>
        <v/>
      </c>
      <c r="BM6" s="131" t="n"/>
      <c r="BN6" s="58" t="n"/>
      <c r="BO6" s="58">
        <f>BP6/BN6</f>
        <v/>
      </c>
      <c r="BP6" s="129" t="n"/>
      <c r="BQ6" s="63" t="n"/>
      <c r="BR6" s="63">
        <f>BS6/BQ6</f>
        <v/>
      </c>
      <c r="BS6" s="133" t="n"/>
      <c r="BT6" s="58" t="n"/>
      <c r="BU6" s="58">
        <f>BV6/BT6</f>
        <v/>
      </c>
      <c r="BV6" s="129" t="n"/>
      <c r="BW6" s="63" t="n"/>
      <c r="BX6" s="63">
        <f>BY6/BW6</f>
        <v/>
      </c>
      <c r="BY6" s="133" t="n"/>
      <c r="BZ6" s="58" t="n"/>
      <c r="CA6" s="58">
        <f>CB6/BZ6</f>
        <v/>
      </c>
      <c r="CB6" s="129" t="n"/>
      <c r="CC6" s="63" t="n"/>
      <c r="CD6" s="63">
        <f>CE6/CC6</f>
        <v/>
      </c>
      <c r="CE6" s="133" t="n"/>
      <c r="CF6" s="58" t="n"/>
      <c r="CG6" s="58">
        <f>CH6/CF6</f>
        <v/>
      </c>
      <c r="CH6" s="129" t="n"/>
      <c r="CI6" s="63" t="n"/>
      <c r="CJ6" s="63">
        <f>CK6/CI6</f>
        <v/>
      </c>
      <c r="CK6" s="133" t="n"/>
      <c r="CL6" s="58" t="n"/>
      <c r="CM6" s="58">
        <f>CN6/CL6</f>
        <v/>
      </c>
      <c r="CN6" s="129" t="n"/>
      <c r="CO6" s="63" t="n"/>
      <c r="CP6" s="63">
        <f>CQ6/CO6</f>
        <v/>
      </c>
      <c r="CQ6" s="133" t="n"/>
      <c r="CR6" s="58" t="n"/>
      <c r="CS6" s="58">
        <f>CT6/CR6</f>
        <v/>
      </c>
      <c r="CT6" s="129" t="n"/>
      <c r="CU6" s="63" t="n"/>
      <c r="CV6" s="63">
        <f>CW6/CU6</f>
        <v/>
      </c>
      <c r="CW6" s="63" t="n"/>
    </row>
    <row r="7" customFormat="1" s="46">
      <c r="A7" s="42" t="n">
        <v>5</v>
      </c>
      <c r="B7" s="42" t="inlineStr">
        <is>
          <t>ZC000005</t>
        </is>
      </c>
      <c r="C7" s="42" t="inlineStr">
        <is>
          <t>食品类</t>
        </is>
      </c>
      <c r="D7" s="42" t="inlineStr">
        <is>
          <t>香菜</t>
        </is>
      </c>
      <c r="E7" s="42" t="inlineStr">
        <is>
          <t>斤</t>
        </is>
      </c>
      <c r="F7" s="61" t="n">
        <v>0</v>
      </c>
      <c r="G7" s="133">
        <f>H7/F7</f>
        <v/>
      </c>
      <c r="H7" s="61" t="n">
        <v>0</v>
      </c>
      <c r="I7" s="63" t="n"/>
      <c r="J7" s="63" t="n"/>
      <c r="K7" s="133" t="n"/>
      <c r="L7" s="56" t="n"/>
      <c r="M7" s="56">
        <f>N7/L7</f>
        <v/>
      </c>
      <c r="N7" s="131" t="n"/>
      <c r="O7" s="63" t="n"/>
      <c r="P7" s="135">
        <f>Q7/O7</f>
        <v/>
      </c>
      <c r="Q7" s="133" t="n"/>
      <c r="R7" s="58" t="n"/>
      <c r="S7" s="58">
        <f>T7/R7</f>
        <v/>
      </c>
      <c r="T7" s="129" t="n"/>
      <c r="U7" s="63" t="n"/>
      <c r="V7" s="63">
        <f>W7/U7</f>
        <v/>
      </c>
      <c r="W7" s="133" t="n"/>
      <c r="X7" s="58" t="n"/>
      <c r="Y7" s="58">
        <f>Z7/X7</f>
        <v/>
      </c>
      <c r="Z7" s="129" t="n"/>
      <c r="AA7" s="63" t="n"/>
      <c r="AB7" s="63">
        <f>AC7/AA7</f>
        <v/>
      </c>
      <c r="AC7" s="133" t="n"/>
      <c r="AD7" s="58" t="n"/>
      <c r="AE7" s="58">
        <f>AF7/AD7</f>
        <v/>
      </c>
      <c r="AF7" s="129" t="n"/>
      <c r="AG7" s="63" t="n"/>
      <c r="AH7" s="63">
        <f>AI7/AG7</f>
        <v/>
      </c>
      <c r="AI7" s="133" t="n"/>
      <c r="AJ7" s="58" t="n"/>
      <c r="AK7" s="58">
        <f>AL7/AJ7</f>
        <v/>
      </c>
      <c r="AL7" s="129" t="n"/>
      <c r="AM7" s="63" t="n"/>
      <c r="AN7" s="63">
        <f>AO7/AM7</f>
        <v/>
      </c>
      <c r="AO7" s="133" t="n"/>
      <c r="AP7" s="58" t="n">
        <v>2</v>
      </c>
      <c r="AQ7" s="58">
        <f>AR7/AP7</f>
        <v/>
      </c>
      <c r="AR7" s="129" t="n">
        <v>15</v>
      </c>
      <c r="AS7" s="63" t="n">
        <v>1</v>
      </c>
      <c r="AT7" s="63">
        <f>AU7/AS7</f>
        <v/>
      </c>
      <c r="AU7" s="133" t="n">
        <v>7</v>
      </c>
      <c r="AV7" s="58" t="n"/>
      <c r="AW7" s="58">
        <f>AX7/AV7</f>
        <v/>
      </c>
      <c r="AX7" s="129" t="n"/>
      <c r="AY7" s="63" t="n"/>
      <c r="AZ7" s="63">
        <f>BA7/AY7</f>
        <v/>
      </c>
      <c r="BA7" s="63" t="n"/>
      <c r="BB7" s="58" t="n"/>
      <c r="BC7" s="58">
        <f>BD7/BB7</f>
        <v/>
      </c>
      <c r="BD7" s="58" t="n"/>
      <c r="BE7" s="63" t="n"/>
      <c r="BF7" s="63">
        <f>BG7/BE7</f>
        <v/>
      </c>
      <c r="BG7" s="133" t="n"/>
      <c r="BH7" s="58" t="n"/>
      <c r="BI7" s="58">
        <f>BJ7/BH7</f>
        <v/>
      </c>
      <c r="BJ7" s="129" t="n"/>
      <c r="BK7" s="56" t="n"/>
      <c r="BL7" s="56">
        <f>BM7/BK7</f>
        <v/>
      </c>
      <c r="BM7" s="131" t="n"/>
      <c r="BN7" s="58" t="n"/>
      <c r="BO7" s="58">
        <f>BP7/BN7</f>
        <v/>
      </c>
      <c r="BP7" s="129" t="n"/>
      <c r="BQ7" s="63" t="n"/>
      <c r="BR7" s="63">
        <f>BS7/BQ7</f>
        <v/>
      </c>
      <c r="BS7" s="133" t="n"/>
      <c r="BT7" s="58" t="n"/>
      <c r="BU7" s="58">
        <f>BV7/BT7</f>
        <v/>
      </c>
      <c r="BV7" s="129" t="n"/>
      <c r="BW7" s="63" t="n"/>
      <c r="BX7" s="63">
        <f>BY7/BW7</f>
        <v/>
      </c>
      <c r="BY7" s="133" t="n"/>
      <c r="BZ7" s="58" t="n"/>
      <c r="CA7" s="58">
        <f>CB7/BZ7</f>
        <v/>
      </c>
      <c r="CB7" s="129" t="n"/>
      <c r="CC7" s="63" t="n"/>
      <c r="CD7" s="63">
        <f>CE7/CC7</f>
        <v/>
      </c>
      <c r="CE7" s="133" t="n"/>
      <c r="CF7" s="58" t="n"/>
      <c r="CG7" s="58">
        <f>CH7/CF7</f>
        <v/>
      </c>
      <c r="CH7" s="129" t="n"/>
      <c r="CI7" s="63" t="n"/>
      <c r="CJ7" s="63">
        <f>CK7/CI7</f>
        <v/>
      </c>
      <c r="CK7" s="133" t="n"/>
      <c r="CL7" s="58" t="n"/>
      <c r="CM7" s="58">
        <f>CN7/CL7</f>
        <v/>
      </c>
      <c r="CN7" s="129" t="n"/>
      <c r="CO7" s="63" t="n"/>
      <c r="CP7" s="63">
        <f>CQ7/CO7</f>
        <v/>
      </c>
      <c r="CQ7" s="133" t="n"/>
      <c r="CR7" s="58" t="n"/>
      <c r="CS7" s="58">
        <f>CT7/CR7</f>
        <v/>
      </c>
      <c r="CT7" s="129" t="n"/>
      <c r="CU7" s="63" t="n"/>
      <c r="CV7" s="63">
        <f>CW7/CU7</f>
        <v/>
      </c>
      <c r="CW7" s="63" t="n"/>
    </row>
    <row r="8" customFormat="1" s="46">
      <c r="A8" s="42" t="n">
        <v>6</v>
      </c>
      <c r="B8" s="42" t="inlineStr">
        <is>
          <t>ZC000006</t>
        </is>
      </c>
      <c r="C8" s="42" t="inlineStr">
        <is>
          <t>食品类</t>
        </is>
      </c>
      <c r="D8" s="42" t="inlineStr">
        <is>
          <t>香葱</t>
        </is>
      </c>
      <c r="E8" s="42" t="inlineStr">
        <is>
          <t>斤</t>
        </is>
      </c>
      <c r="F8" s="61" t="n">
        <v>0</v>
      </c>
      <c r="G8" s="133">
        <f>H8/F8</f>
        <v/>
      </c>
      <c r="H8" s="61" t="n">
        <v>0</v>
      </c>
      <c r="I8" s="63" t="n"/>
      <c r="J8" s="63" t="n"/>
      <c r="K8" s="133" t="n"/>
      <c r="L8" s="56" t="n"/>
      <c r="M8" s="56">
        <f>N8/L8</f>
        <v/>
      </c>
      <c r="N8" s="131" t="n"/>
      <c r="O8" s="63" t="n"/>
      <c r="P8" s="134" t="n"/>
      <c r="Q8" s="133" t="n"/>
      <c r="R8" s="58" t="n"/>
      <c r="S8" s="58">
        <f>T8/R8</f>
        <v/>
      </c>
      <c r="T8" s="129" t="n"/>
      <c r="U8" s="63" t="n"/>
      <c r="V8" s="63">
        <f>W8/U8</f>
        <v/>
      </c>
      <c r="W8" s="133" t="n"/>
      <c r="X8" s="58" t="n"/>
      <c r="Y8" s="58">
        <f>Z8/X8</f>
        <v/>
      </c>
      <c r="Z8" s="129" t="n"/>
      <c r="AA8" s="63" t="n"/>
      <c r="AB8" s="63">
        <f>AC8/AA8</f>
        <v/>
      </c>
      <c r="AC8" s="133" t="n"/>
      <c r="AD8" s="58" t="n"/>
      <c r="AE8" s="58">
        <f>AF8/AD8</f>
        <v/>
      </c>
      <c r="AF8" s="129" t="n"/>
      <c r="AG8" s="63" t="n"/>
      <c r="AH8" s="63">
        <f>AI8/AG8</f>
        <v/>
      </c>
      <c r="AI8" s="133" t="n"/>
      <c r="AJ8" s="58" t="n"/>
      <c r="AK8" s="58">
        <f>AL8/AJ8</f>
        <v/>
      </c>
      <c r="AL8" s="129" t="n"/>
      <c r="AM8" s="63" t="n">
        <v>1</v>
      </c>
      <c r="AN8" s="63">
        <f>AO8/AM8</f>
        <v/>
      </c>
      <c r="AO8" s="133" t="n">
        <v>4</v>
      </c>
      <c r="AP8" s="58" t="n">
        <v>2</v>
      </c>
      <c r="AQ8" s="58">
        <f>AR8/AP8</f>
        <v/>
      </c>
      <c r="AR8" s="129" t="n">
        <v>8</v>
      </c>
      <c r="AS8" s="63" t="n">
        <v>3</v>
      </c>
      <c r="AT8" s="63">
        <f>AU8/AS8</f>
        <v/>
      </c>
      <c r="AU8" s="133" t="n">
        <v>12</v>
      </c>
      <c r="AV8" s="58" t="n"/>
      <c r="AW8" s="58">
        <f>AX8/AV8</f>
        <v/>
      </c>
      <c r="AX8" s="129" t="n"/>
      <c r="AY8" s="63" t="n"/>
      <c r="AZ8" s="63">
        <f>BA8/AY8</f>
        <v/>
      </c>
      <c r="BA8" s="63" t="n"/>
      <c r="BB8" s="58" t="n"/>
      <c r="BC8" s="58">
        <f>BD8/BB8</f>
        <v/>
      </c>
      <c r="BD8" s="58" t="n"/>
      <c r="BE8" s="63" t="n"/>
      <c r="BF8" s="63">
        <f>BG8/BE8</f>
        <v/>
      </c>
      <c r="BG8" s="133" t="n"/>
      <c r="BH8" s="58" t="n"/>
      <c r="BI8" s="58">
        <f>BJ8/BH8</f>
        <v/>
      </c>
      <c r="BJ8" s="129" t="n"/>
      <c r="BK8" s="56" t="n"/>
      <c r="BL8" s="56">
        <f>BM8/BK8</f>
        <v/>
      </c>
      <c r="BM8" s="131" t="n"/>
      <c r="BN8" s="58" t="n"/>
      <c r="BO8" s="58">
        <f>BP8/BN8</f>
        <v/>
      </c>
      <c r="BP8" s="129" t="n"/>
      <c r="BQ8" s="63" t="n"/>
      <c r="BR8" s="63">
        <f>BS8/BQ8</f>
        <v/>
      </c>
      <c r="BS8" s="133" t="n"/>
      <c r="BT8" s="58" t="n"/>
      <c r="BU8" s="58">
        <f>BV8/BT8</f>
        <v/>
      </c>
      <c r="BV8" s="129" t="n"/>
      <c r="BW8" s="63" t="n"/>
      <c r="BX8" s="63">
        <f>BY8/BW8</f>
        <v/>
      </c>
      <c r="BY8" s="133" t="n"/>
      <c r="BZ8" s="58" t="n"/>
      <c r="CA8" s="58">
        <f>CB8/BZ8</f>
        <v/>
      </c>
      <c r="CB8" s="129" t="n"/>
      <c r="CC8" s="63" t="n"/>
      <c r="CD8" s="63">
        <f>CE8/CC8</f>
        <v/>
      </c>
      <c r="CE8" s="133" t="n"/>
      <c r="CF8" s="58" t="n"/>
      <c r="CG8" s="58">
        <f>CH8/CF8</f>
        <v/>
      </c>
      <c r="CH8" s="129" t="n"/>
      <c r="CI8" s="63" t="n"/>
      <c r="CJ8" s="63">
        <f>CK8/CI8</f>
        <v/>
      </c>
      <c r="CK8" s="133" t="n"/>
      <c r="CL8" s="58" t="n"/>
      <c r="CM8" s="58">
        <f>CN8/CL8</f>
        <v/>
      </c>
      <c r="CN8" s="129" t="n"/>
      <c r="CO8" s="63" t="n"/>
      <c r="CP8" s="63">
        <f>CQ8/CO8</f>
        <v/>
      </c>
      <c r="CQ8" s="133" t="n"/>
      <c r="CR8" s="58" t="n"/>
      <c r="CS8" s="58">
        <f>CT8/CR8</f>
        <v/>
      </c>
      <c r="CT8" s="129" t="n"/>
      <c r="CU8" s="63" t="n"/>
      <c r="CV8" s="63">
        <f>CW8/CU8</f>
        <v/>
      </c>
      <c r="CW8" s="63" t="n"/>
    </row>
    <row r="9">
      <c r="A9" s="13" t="n">
        <v>7</v>
      </c>
      <c r="B9" s="13" t="inlineStr">
        <is>
          <t>ZC000007</t>
        </is>
      </c>
      <c r="C9" s="13" t="inlineStr">
        <is>
          <t>食品类</t>
        </is>
      </c>
      <c r="D9" s="13" t="inlineStr">
        <is>
          <t>米酒</t>
        </is>
      </c>
      <c r="E9" s="13" t="inlineStr">
        <is>
          <t>瓶</t>
        </is>
      </c>
      <c r="F9" s="6">
        <f>I9+L9+O9+R9+U9+X9+AA9+AD9+AG9+AJ9+AM9+AP9+AS9+AV9+AY9+BB9+BE9+BH9+BK9+BN9+BQ9+BT9+BW9+BZ9+CC9+CF9+CI9+CL9+CO9+CR9+CU9</f>
        <v/>
      </c>
      <c r="G9" s="128">
        <f>H9/F9</f>
        <v/>
      </c>
      <c r="H9" s="6">
        <f>K9+N9+Q9+T9+W9+Z9+AC9+AF9+AI9+AL9+AO9+AR9+AU9+AX9+BA9+BD9+BG9+BJ9+BM9+BP9+BS9+BV9+BY9+CB9+CE9+CH9+CK9+CN9+CQ9+CT9+CW9</f>
        <v/>
      </c>
      <c r="I9" s="55" t="n"/>
      <c r="J9" s="55">
        <f>K9/I9</f>
        <v/>
      </c>
      <c r="K9" s="128" t="n"/>
      <c r="L9" s="56" t="n"/>
      <c r="M9" s="56">
        <f>N9/L9</f>
        <v/>
      </c>
      <c r="N9" s="131" t="n"/>
      <c r="O9" s="55" t="n"/>
      <c r="P9" s="55">
        <f>Q9/O9</f>
        <v/>
      </c>
      <c r="Q9" s="128" t="n"/>
      <c r="R9" s="58" t="n"/>
      <c r="S9" s="58">
        <f>T9/R9</f>
        <v/>
      </c>
      <c r="T9" s="129" t="n"/>
      <c r="U9" s="55" t="n"/>
      <c r="V9" s="55">
        <f>W9/U9</f>
        <v/>
      </c>
      <c r="W9" s="128" t="n"/>
      <c r="X9" s="58" t="n"/>
      <c r="Y9" s="58">
        <f>Z9/X9</f>
        <v/>
      </c>
      <c r="Z9" s="129" t="n"/>
      <c r="AA9" s="55" t="n"/>
      <c r="AB9" s="55">
        <f>AC9/AA9</f>
        <v/>
      </c>
      <c r="AC9" s="128" t="n"/>
      <c r="AD9" s="58" t="n"/>
      <c r="AE9" s="58">
        <f>AF9/AD9</f>
        <v/>
      </c>
      <c r="AF9" s="129" t="n"/>
      <c r="AG9" s="55" t="n"/>
      <c r="AH9" s="55">
        <f>AI9/AG9</f>
        <v/>
      </c>
      <c r="AI9" s="128" t="n"/>
      <c r="AJ9" s="58" t="n"/>
      <c r="AK9" s="58">
        <f>AL9/AJ9</f>
        <v/>
      </c>
      <c r="AL9" s="129" t="n"/>
      <c r="AM9" s="55" t="n"/>
      <c r="AN9" s="55">
        <f>AO9/AM9</f>
        <v/>
      </c>
      <c r="AO9" s="128" t="n"/>
      <c r="AP9" s="58" t="n"/>
      <c r="AQ9" s="58">
        <f>AR9/AP9</f>
        <v/>
      </c>
      <c r="AR9" s="129" t="n"/>
      <c r="AS9" s="55" t="n"/>
      <c r="AT9" s="55">
        <f>AU9/AS9</f>
        <v/>
      </c>
      <c r="AU9" s="128" t="n"/>
      <c r="AV9" s="58" t="n"/>
      <c r="AW9" s="58">
        <f>AX9/AV9</f>
        <v/>
      </c>
      <c r="AX9" s="129" t="n"/>
      <c r="AY9" s="55" t="n"/>
      <c r="AZ9" s="55">
        <f>BA9/AY9</f>
        <v/>
      </c>
      <c r="BA9" s="55" t="n"/>
      <c r="BB9" s="58" t="n"/>
      <c r="BC9" s="58">
        <f>BD9/BB9</f>
        <v/>
      </c>
      <c r="BD9" s="58" t="n"/>
      <c r="BE9" s="55" t="n"/>
      <c r="BF9" s="55">
        <f>BG9/BE9</f>
        <v/>
      </c>
      <c r="BG9" s="128" t="n"/>
      <c r="BH9" s="58" t="n"/>
      <c r="BI9" s="58">
        <f>BJ9/BH9</f>
        <v/>
      </c>
      <c r="BJ9" s="129" t="n"/>
      <c r="BK9" s="56" t="n"/>
      <c r="BL9" s="56">
        <f>BM9/BK9</f>
        <v/>
      </c>
      <c r="BM9" s="131" t="n"/>
      <c r="BN9" s="58" t="n"/>
      <c r="BO9" s="58">
        <f>BP9/BN9</f>
        <v/>
      </c>
      <c r="BP9" s="129" t="n"/>
      <c r="BQ9" s="55" t="n"/>
      <c r="BR9" s="55">
        <f>BS9/BQ9</f>
        <v/>
      </c>
      <c r="BS9" s="128" t="n"/>
      <c r="BT9" s="58" t="n"/>
      <c r="BU9" s="58">
        <f>BV9/BT9</f>
        <v/>
      </c>
      <c r="BV9" s="129" t="n"/>
      <c r="BW9" s="55" t="n"/>
      <c r="BX9" s="55">
        <f>BY9/BW9</f>
        <v/>
      </c>
      <c r="BY9" s="128" t="n"/>
      <c r="BZ9" s="58" t="n"/>
      <c r="CA9" s="58">
        <f>CB9/BZ9</f>
        <v/>
      </c>
      <c r="CB9" s="129" t="n"/>
      <c r="CC9" s="55" t="n"/>
      <c r="CD9" s="55">
        <f>CE9/CC9</f>
        <v/>
      </c>
      <c r="CE9" s="128" t="n"/>
      <c r="CF9" s="58" t="n"/>
      <c r="CG9" s="58">
        <f>CH9/CF9</f>
        <v/>
      </c>
      <c r="CH9" s="129" t="n"/>
      <c r="CI9" s="55" t="n"/>
      <c r="CJ9" s="55">
        <f>CK9/CI9</f>
        <v/>
      </c>
      <c r="CK9" s="128" t="n"/>
      <c r="CL9" s="58" t="n"/>
      <c r="CM9" s="58">
        <f>CN9/CL9</f>
        <v/>
      </c>
      <c r="CN9" s="129" t="n"/>
      <c r="CO9" s="55" t="n"/>
      <c r="CP9" s="55">
        <f>CQ9/CO9</f>
        <v/>
      </c>
      <c r="CQ9" s="128" t="n"/>
      <c r="CR9" s="58" t="n"/>
      <c r="CS9" s="58">
        <f>CT9/CR9</f>
        <v/>
      </c>
      <c r="CT9" s="129" t="n"/>
      <c r="CU9" s="55" t="n"/>
      <c r="CV9" s="55">
        <f>CW9/CU9</f>
        <v/>
      </c>
      <c r="CW9" s="55" t="n"/>
    </row>
    <row r="10" customFormat="1" s="46">
      <c r="A10" s="42" t="n">
        <v>8</v>
      </c>
      <c r="B10" s="42" t="inlineStr">
        <is>
          <t>ZC000008</t>
        </is>
      </c>
      <c r="C10" s="42" t="inlineStr">
        <is>
          <t>食品类</t>
        </is>
      </c>
      <c r="D10" s="42" t="inlineStr">
        <is>
          <t>鸡蛋</t>
        </is>
      </c>
      <c r="E10" s="42" t="inlineStr">
        <is>
          <t>板</t>
        </is>
      </c>
      <c r="F10" s="61" t="n">
        <v>0</v>
      </c>
      <c r="G10" s="133">
        <f>H10/F10</f>
        <v/>
      </c>
      <c r="H10" s="61" t="n">
        <v>0</v>
      </c>
      <c r="I10" s="63" t="n"/>
      <c r="J10" s="63">
        <f>K10/I10</f>
        <v/>
      </c>
      <c r="K10" s="133" t="n"/>
      <c r="L10" s="56" t="n"/>
      <c r="M10" s="56">
        <f>N10/L10</f>
        <v/>
      </c>
      <c r="N10" s="131" t="n"/>
      <c r="O10" s="63" t="n"/>
      <c r="P10" s="134">
        <f>Q10/O10</f>
        <v/>
      </c>
      <c r="Q10" s="133" t="n"/>
      <c r="R10" s="58" t="n"/>
      <c r="S10" s="58">
        <f>T10/R10</f>
        <v/>
      </c>
      <c r="T10" s="129" t="n"/>
      <c r="U10" s="63" t="n"/>
      <c r="V10" s="63">
        <f>W10/U10</f>
        <v/>
      </c>
      <c r="W10" s="133" t="n"/>
      <c r="X10" s="58" t="n"/>
      <c r="Y10" s="58">
        <f>Z10/X10</f>
        <v/>
      </c>
      <c r="Z10" s="129" t="n"/>
      <c r="AA10" s="63" t="n"/>
      <c r="AB10" s="63">
        <f>AC10/AA10</f>
        <v/>
      </c>
      <c r="AC10" s="133" t="n"/>
      <c r="AD10" s="58" t="n"/>
      <c r="AE10" s="58">
        <f>AF10/AD10</f>
        <v/>
      </c>
      <c r="AF10" s="129" t="n"/>
      <c r="AG10" s="63" t="n"/>
      <c r="AH10" s="63">
        <f>AI10/AG10</f>
        <v/>
      </c>
      <c r="AI10" s="133" t="n"/>
      <c r="AJ10" s="58" t="n"/>
      <c r="AK10" s="58">
        <f>AL10/AJ10</f>
        <v/>
      </c>
      <c r="AL10" s="129" t="n"/>
      <c r="AM10" s="63" t="n">
        <v>1</v>
      </c>
      <c r="AN10" s="63">
        <f>AO10/AM10</f>
        <v/>
      </c>
      <c r="AO10" s="133" t="n">
        <v>25</v>
      </c>
      <c r="AP10" s="58" t="n"/>
      <c r="AQ10" s="58">
        <f>AR10/AP10</f>
        <v/>
      </c>
      <c r="AR10" s="129" t="n"/>
      <c r="AS10" s="63" t="n">
        <v>1</v>
      </c>
      <c r="AT10" s="63">
        <f>AU10/AS10</f>
        <v/>
      </c>
      <c r="AU10" s="133" t="n">
        <v>25</v>
      </c>
      <c r="AV10" s="58" t="n"/>
      <c r="AW10" s="58">
        <f>AX10/AV10</f>
        <v/>
      </c>
      <c r="AX10" s="129" t="n"/>
      <c r="AY10" s="63" t="n"/>
      <c r="AZ10" s="63">
        <f>BA10/AY10</f>
        <v/>
      </c>
      <c r="BA10" s="63" t="n"/>
      <c r="BB10" s="58" t="n"/>
      <c r="BC10" s="58">
        <f>BD10/BB10</f>
        <v/>
      </c>
      <c r="BD10" s="58" t="n"/>
      <c r="BE10" s="63" t="n"/>
      <c r="BF10" s="63">
        <f>BG10/BE10</f>
        <v/>
      </c>
      <c r="BG10" s="133" t="n"/>
      <c r="BH10" s="58" t="n"/>
      <c r="BI10" s="58">
        <f>BJ10/BH10</f>
        <v/>
      </c>
      <c r="BJ10" s="129" t="n"/>
      <c r="BK10" s="56" t="n"/>
      <c r="BL10" s="56">
        <f>BM10/BK10</f>
        <v/>
      </c>
      <c r="BM10" s="131" t="n"/>
      <c r="BN10" s="58" t="n"/>
      <c r="BO10" s="58">
        <f>BP10/BN10</f>
        <v/>
      </c>
      <c r="BP10" s="129" t="n"/>
      <c r="BQ10" s="63" t="n"/>
      <c r="BR10" s="63">
        <f>BS10/BQ10</f>
        <v/>
      </c>
      <c r="BS10" s="133" t="n"/>
      <c r="BT10" s="58" t="n"/>
      <c r="BU10" s="58">
        <f>BV10/BT10</f>
        <v/>
      </c>
      <c r="BV10" s="129" t="n"/>
      <c r="BW10" s="63" t="n"/>
      <c r="BX10" s="63">
        <f>BY10/BW10</f>
        <v/>
      </c>
      <c r="BY10" s="133" t="n"/>
      <c r="BZ10" s="58" t="n"/>
      <c r="CA10" s="58">
        <f>CB10/BZ10</f>
        <v/>
      </c>
      <c r="CB10" s="129" t="n"/>
      <c r="CC10" s="63" t="n"/>
      <c r="CD10" s="63">
        <f>CE10/CC10</f>
        <v/>
      </c>
      <c r="CE10" s="133" t="n"/>
      <c r="CF10" s="58" t="n"/>
      <c r="CG10" s="58">
        <f>CH10/CF10</f>
        <v/>
      </c>
      <c r="CH10" s="129" t="n"/>
      <c r="CI10" s="63" t="n"/>
      <c r="CJ10" s="63">
        <f>CK10/CI10</f>
        <v/>
      </c>
      <c r="CK10" s="133" t="n"/>
      <c r="CL10" s="58" t="n"/>
      <c r="CM10" s="58">
        <f>CN10/CL10</f>
        <v/>
      </c>
      <c r="CN10" s="129" t="n"/>
      <c r="CO10" s="63" t="n"/>
      <c r="CP10" s="63">
        <f>CQ10/CO10</f>
        <v/>
      </c>
      <c r="CQ10" s="133" t="n"/>
      <c r="CR10" s="58" t="n"/>
      <c r="CS10" s="58">
        <f>CT10/CR10</f>
        <v/>
      </c>
      <c r="CT10" s="129" t="n"/>
      <c r="CU10" s="63" t="n"/>
      <c r="CV10" s="63">
        <f>CW10/CU10</f>
        <v/>
      </c>
      <c r="CW10" s="63" t="n"/>
    </row>
    <row r="11">
      <c r="A11" s="13" t="n">
        <v>9</v>
      </c>
      <c r="B11" s="13" t="inlineStr">
        <is>
          <t>ZC000009</t>
        </is>
      </c>
      <c r="C11" s="13" t="inlineStr">
        <is>
          <t>食品类</t>
        </is>
      </c>
      <c r="D11" s="13" t="inlineStr">
        <is>
          <t>番茄</t>
        </is>
      </c>
      <c r="E11" s="13" t="inlineStr">
        <is>
          <t>斤</t>
        </is>
      </c>
      <c r="F11" s="6">
        <f>I11+L11+O11+R11+U11+X11+AA11+AD11+AG11+AJ11+AM11+AP11+AS11+AV11+AY11+BB11+BE11+BH11+BK11+BN11+BQ11+BT11+BW11+BZ11+CC11+CF11+CI11+CL11+CO11+CR11+CU11</f>
        <v/>
      </c>
      <c r="G11" s="128">
        <f>H11/F11</f>
        <v/>
      </c>
      <c r="H11" s="6">
        <f>K11+N11+Q11+T11+W11+Z11+AC11+AF11+AI11+AL11+AO11+AR11+AU11+AX11+BA11+BD11+BG11+BJ11+BM11+BP11+BS11+BV11+BY11+CB11+CE11+CH11+CK11+CN11+CQ11+CT11+CW11</f>
        <v/>
      </c>
      <c r="I11" s="55" t="n"/>
      <c r="J11" s="55" t="n"/>
      <c r="K11" s="128" t="n"/>
      <c r="L11" s="56" t="n"/>
      <c r="M11" s="56">
        <f>N11/L11</f>
        <v/>
      </c>
      <c r="N11" s="131" t="n"/>
      <c r="O11" s="55" t="n"/>
      <c r="P11" s="132">
        <f>Q11/O11</f>
        <v/>
      </c>
      <c r="Q11" s="128" t="n"/>
      <c r="R11" s="58" t="n"/>
      <c r="S11" s="58">
        <f>T11/R11</f>
        <v/>
      </c>
      <c r="T11" s="129" t="n"/>
      <c r="U11" s="55" t="n"/>
      <c r="V11" s="55">
        <f>W11/U11</f>
        <v/>
      </c>
      <c r="W11" s="128" t="n"/>
      <c r="X11" s="58" t="n"/>
      <c r="Y11" s="58">
        <f>Z11/X11</f>
        <v/>
      </c>
      <c r="Z11" s="129" t="n"/>
      <c r="AA11" s="55" t="n"/>
      <c r="AB11" s="55">
        <f>AC11/AA11</f>
        <v/>
      </c>
      <c r="AC11" s="128" t="n"/>
      <c r="AD11" s="58" t="n"/>
      <c r="AE11" s="58">
        <f>AF11/AD11</f>
        <v/>
      </c>
      <c r="AF11" s="129" t="n"/>
      <c r="AG11" s="55" t="n"/>
      <c r="AH11" s="55">
        <f>AI11/AG11</f>
        <v/>
      </c>
      <c r="AI11" s="128" t="n"/>
      <c r="AJ11" s="58" t="n"/>
      <c r="AK11" s="58">
        <f>AL11/AJ11</f>
        <v/>
      </c>
      <c r="AL11" s="129" t="n"/>
      <c r="AM11" s="55" t="n">
        <v>3.4</v>
      </c>
      <c r="AN11" s="55">
        <f>AO11/AM11</f>
        <v/>
      </c>
      <c r="AO11" s="128" t="n">
        <v>13</v>
      </c>
      <c r="AP11" s="58" t="n"/>
      <c r="AQ11" s="58">
        <f>AR11/AP11</f>
        <v/>
      </c>
      <c r="AR11" s="129" t="n"/>
      <c r="AS11" s="55" t="n">
        <v>3.4</v>
      </c>
      <c r="AT11" s="55">
        <f>AU11/AS11</f>
        <v/>
      </c>
      <c r="AU11" s="128" t="n">
        <v>13</v>
      </c>
      <c r="AV11" s="58" t="n"/>
      <c r="AW11" s="58">
        <f>AX11/AV11</f>
        <v/>
      </c>
      <c r="AX11" s="129" t="n"/>
      <c r="AY11" s="55" t="n"/>
      <c r="AZ11" s="55">
        <f>BA11/AY11</f>
        <v/>
      </c>
      <c r="BA11" s="55" t="n"/>
      <c r="BB11" s="58" t="n"/>
      <c r="BC11" s="58">
        <f>BD11/BB11</f>
        <v/>
      </c>
      <c r="BD11" s="58" t="n"/>
      <c r="BE11" s="55" t="n"/>
      <c r="BF11" s="55">
        <f>BG11/BE11</f>
        <v/>
      </c>
      <c r="BG11" s="128" t="n"/>
      <c r="BH11" s="58" t="n"/>
      <c r="BI11" s="58">
        <f>BJ11/BH11</f>
        <v/>
      </c>
      <c r="BJ11" s="129" t="n"/>
      <c r="BK11" s="56" t="n"/>
      <c r="BL11" s="56">
        <f>BM11/BK11</f>
        <v/>
      </c>
      <c r="BM11" s="131" t="n"/>
      <c r="BN11" s="58" t="n"/>
      <c r="BO11" s="58">
        <f>BP11/BN11</f>
        <v/>
      </c>
      <c r="BP11" s="129" t="n"/>
      <c r="BQ11" s="55" t="n"/>
      <c r="BR11" s="55">
        <f>BS11/BQ11</f>
        <v/>
      </c>
      <c r="BS11" s="128" t="n"/>
      <c r="BT11" s="58" t="n"/>
      <c r="BU11" s="58">
        <f>BV11/BT11</f>
        <v/>
      </c>
      <c r="BV11" s="129" t="n"/>
      <c r="BW11" s="55" t="n"/>
      <c r="BX11" s="55">
        <f>BY11/BW11</f>
        <v/>
      </c>
      <c r="BY11" s="128" t="n"/>
      <c r="BZ11" s="58" t="n"/>
      <c r="CA11" s="58">
        <f>CB11/BZ11</f>
        <v/>
      </c>
      <c r="CB11" s="129" t="n"/>
      <c r="CC11" s="55" t="n"/>
      <c r="CD11" s="55">
        <f>CE11/CC11</f>
        <v/>
      </c>
      <c r="CE11" s="128" t="n"/>
      <c r="CF11" s="58" t="n"/>
      <c r="CG11" s="58">
        <f>CH11/CF11</f>
        <v/>
      </c>
      <c r="CH11" s="129" t="n"/>
      <c r="CI11" s="55" t="n"/>
      <c r="CJ11" s="55">
        <f>CK11/CI11</f>
        <v/>
      </c>
      <c r="CK11" s="128" t="n"/>
      <c r="CL11" s="58" t="n"/>
      <c r="CM11" s="58">
        <f>CN11/CL11</f>
        <v/>
      </c>
      <c r="CN11" s="129" t="n"/>
      <c r="CO11" s="55" t="n"/>
      <c r="CP11" s="55">
        <f>CQ11/CO11</f>
        <v/>
      </c>
      <c r="CQ11" s="128" t="n"/>
      <c r="CR11" s="58" t="n"/>
      <c r="CS11" s="58">
        <f>CT11/CR11</f>
        <v/>
      </c>
      <c r="CT11" s="129" t="n"/>
      <c r="CU11" s="55" t="n"/>
      <c r="CV11" s="55">
        <f>CW11/CU11</f>
        <v/>
      </c>
      <c r="CW11" s="55" t="n"/>
    </row>
    <row r="12">
      <c r="A12" s="13" t="n">
        <v>10</v>
      </c>
      <c r="B12" s="13" t="inlineStr">
        <is>
          <t>ZC000010</t>
        </is>
      </c>
      <c r="C12" s="13" t="inlineStr">
        <is>
          <t>食品类</t>
        </is>
      </c>
      <c r="D12" s="13" t="inlineStr">
        <is>
          <t>亿亩田大米</t>
        </is>
      </c>
      <c r="E12" s="13" t="inlineStr">
        <is>
          <t>斤</t>
        </is>
      </c>
      <c r="F12" s="6">
        <f>I12+L12+O12+R12+U12+X12+AA12+AD12+AG12+AJ12+AM12+AP12+AS12+AV12+AY12+BB12+BE12+BH12+BK12+BN12+BQ12+BT12+BW12+BZ12+CC12+CF12+CI12+CL12+CO12+CR12+CU12</f>
        <v/>
      </c>
      <c r="G12" s="128">
        <f>H12/F12</f>
        <v/>
      </c>
      <c r="H12" s="6">
        <f>K12+N12+Q12+T12+W12+Z12+AC12+AF12+AI12+AL12+AO12+AR12+AU12+AX12+BA12+BD12+BG12+BJ12+BM12+BP12+BS12+BV12+BY12+CB12+CE12+CH12+CK12+CN12+CQ12+CT12+CW12</f>
        <v/>
      </c>
      <c r="I12" s="55" t="n"/>
      <c r="J12" s="55">
        <f>K12/I12</f>
        <v/>
      </c>
      <c r="K12" s="128" t="n"/>
      <c r="L12" s="56" t="n"/>
      <c r="M12" s="56">
        <f>N12/L12</f>
        <v/>
      </c>
      <c r="N12" s="131" t="n"/>
      <c r="O12" s="55" t="n"/>
      <c r="P12" s="132">
        <f>Q12/O12</f>
        <v/>
      </c>
      <c r="Q12" s="128" t="n"/>
      <c r="R12" s="58" t="n"/>
      <c r="S12" s="58">
        <f>T12/R12</f>
        <v/>
      </c>
      <c r="T12" s="129" t="n"/>
      <c r="U12" s="55" t="n"/>
      <c r="V12" s="55">
        <f>W12/U12</f>
        <v/>
      </c>
      <c r="W12" s="128" t="n"/>
      <c r="X12" s="58" t="n"/>
      <c r="Y12" s="58">
        <f>Z12/X12</f>
        <v/>
      </c>
      <c r="Z12" s="129" t="n"/>
      <c r="AA12" s="55" t="n"/>
      <c r="AB12" s="55">
        <f>AC12/AA12</f>
        <v/>
      </c>
      <c r="AC12" s="128" t="n"/>
      <c r="AD12" s="58" t="n"/>
      <c r="AE12" s="58">
        <f>AF12/AD12</f>
        <v/>
      </c>
      <c r="AF12" s="129" t="n"/>
      <c r="AG12" s="55" t="n"/>
      <c r="AH12" s="55">
        <f>AI12/AG12</f>
        <v/>
      </c>
      <c r="AI12" s="128" t="n"/>
      <c r="AJ12" s="58" t="n"/>
      <c r="AK12" s="58">
        <f>AL12/AJ12</f>
        <v/>
      </c>
      <c r="AL12" s="129" t="n"/>
      <c r="AM12" s="55" t="n"/>
      <c r="AN12" s="55">
        <f>AO12/AM12</f>
        <v/>
      </c>
      <c r="AO12" s="128" t="n"/>
      <c r="AP12" s="58" t="n"/>
      <c r="AQ12" s="58">
        <f>AR12/AP12</f>
        <v/>
      </c>
      <c r="AR12" s="129" t="n"/>
      <c r="AS12" s="55" t="n"/>
      <c r="AT12" s="55">
        <f>AU12/AS12</f>
        <v/>
      </c>
      <c r="AU12" s="128" t="n"/>
      <c r="AV12" s="58" t="n"/>
      <c r="AW12" s="58">
        <f>AX12/AV12</f>
        <v/>
      </c>
      <c r="AX12" s="129" t="n"/>
      <c r="AY12" s="55" t="n"/>
      <c r="AZ12" s="55">
        <f>BA12/AY12</f>
        <v/>
      </c>
      <c r="BA12" s="55" t="n"/>
      <c r="BB12" s="58" t="n"/>
      <c r="BC12" s="58">
        <f>BD12/BB12</f>
        <v/>
      </c>
      <c r="BD12" s="58" t="n"/>
      <c r="BE12" s="55" t="n"/>
      <c r="BF12" s="55">
        <f>BG12/BE12</f>
        <v/>
      </c>
      <c r="BG12" s="128" t="n"/>
      <c r="BH12" s="58" t="n"/>
      <c r="BI12" s="58">
        <f>BJ12/BH12</f>
        <v/>
      </c>
      <c r="BJ12" s="129" t="n"/>
      <c r="BK12" s="56" t="n"/>
      <c r="BL12" s="56">
        <f>BM12/BK12</f>
        <v/>
      </c>
      <c r="BM12" s="131" t="n"/>
      <c r="BN12" s="58" t="n"/>
      <c r="BO12" s="58">
        <f>BP12/BN12</f>
        <v/>
      </c>
      <c r="BP12" s="129" t="n"/>
      <c r="BQ12" s="55" t="n"/>
      <c r="BR12" s="55">
        <f>BS12/BQ12</f>
        <v/>
      </c>
      <c r="BS12" s="128" t="n"/>
      <c r="BT12" s="58" t="n"/>
      <c r="BU12" s="58">
        <f>BV12/BT12</f>
        <v/>
      </c>
      <c r="BV12" s="129" t="n"/>
      <c r="BW12" s="55" t="n"/>
      <c r="BX12" s="55">
        <f>BY12/BW12</f>
        <v/>
      </c>
      <c r="BY12" s="128" t="n"/>
      <c r="BZ12" s="58" t="n"/>
      <c r="CA12" s="58">
        <f>CB12/BZ12</f>
        <v/>
      </c>
      <c r="CB12" s="129" t="n"/>
      <c r="CC12" s="55" t="n"/>
      <c r="CD12" s="55">
        <f>CE12/CC12</f>
        <v/>
      </c>
      <c r="CE12" s="128" t="n"/>
      <c r="CF12" s="58" t="n"/>
      <c r="CG12" s="58">
        <f>CH12/CF12</f>
        <v/>
      </c>
      <c r="CH12" s="129" t="n"/>
      <c r="CI12" s="55" t="n"/>
      <c r="CJ12" s="55">
        <f>CK12/CI12</f>
        <v/>
      </c>
      <c r="CK12" s="128" t="n"/>
      <c r="CL12" s="58" t="n"/>
      <c r="CM12" s="58">
        <f>CN12/CL12</f>
        <v/>
      </c>
      <c r="CN12" s="129" t="n"/>
      <c r="CO12" s="55" t="n"/>
      <c r="CP12" s="55">
        <f>CQ12/CO12</f>
        <v/>
      </c>
      <c r="CQ12" s="128" t="n"/>
      <c r="CR12" s="58" t="n"/>
      <c r="CS12" s="58">
        <f>CT12/CR12</f>
        <v/>
      </c>
      <c r="CT12" s="129" t="n"/>
      <c r="CU12" s="55" t="n"/>
      <c r="CV12" s="55">
        <f>CW12/CU12</f>
        <v/>
      </c>
      <c r="CW12" s="55" t="n"/>
    </row>
    <row r="13">
      <c r="A13" s="13" t="n">
        <v>11</v>
      </c>
      <c r="B13" s="13" t="inlineStr">
        <is>
          <t>ZC000011</t>
        </is>
      </c>
      <c r="C13" s="13" t="inlineStr">
        <is>
          <t>食品类</t>
        </is>
      </c>
      <c r="D13" s="13" t="inlineStr">
        <is>
          <t>盐</t>
        </is>
      </c>
      <c r="E13" s="13" t="inlineStr">
        <is>
          <t>包</t>
        </is>
      </c>
      <c r="F13" s="6">
        <f>I13+L13+O13+R13+U13+X13+AA13+AD13+AG13+AJ13+AM13+AP13+AS13+AV13+AY13+BB13+BE13+BH13+BK13+BN13+BQ13+BT13+BW13+BZ13+CC13+CF13+CI13+CL13+CO13+CR13+CU13</f>
        <v/>
      </c>
      <c r="G13" s="128">
        <f>H13/F13</f>
        <v/>
      </c>
      <c r="H13" s="6">
        <f>K13+N13+Q13+T13+W13+Z13+AC13+AF13+AI13+AL13+AO13+AR13+AU13+AX13+BA13+BD13+BG13+BJ13+BM13+BP13+BS13+BV13+BY13+CB13+CE13+CH13+CK13+CN13+CQ13+CT13+CW13</f>
        <v/>
      </c>
      <c r="I13" s="55" t="n"/>
      <c r="J13" s="55">
        <f>K13/I13</f>
        <v/>
      </c>
      <c r="K13" s="128" t="n"/>
      <c r="L13" s="56" t="n"/>
      <c r="M13" s="56">
        <f>N13/L13</f>
        <v/>
      </c>
      <c r="N13" s="131" t="n"/>
      <c r="O13" s="55" t="n"/>
      <c r="P13" s="132">
        <f>Q13/O13</f>
        <v/>
      </c>
      <c r="Q13" s="128" t="n"/>
      <c r="R13" s="58" t="n"/>
      <c r="S13" s="58">
        <f>T13/R13</f>
        <v/>
      </c>
      <c r="T13" s="129" t="n"/>
      <c r="U13" s="55" t="n"/>
      <c r="V13" s="55">
        <f>W13/U13</f>
        <v/>
      </c>
      <c r="W13" s="128" t="n"/>
      <c r="X13" s="58" t="n"/>
      <c r="Y13" s="58">
        <f>Z13/X13</f>
        <v/>
      </c>
      <c r="Z13" s="129" t="n"/>
      <c r="AA13" s="55" t="n"/>
      <c r="AB13" s="55">
        <f>AC13/AA13</f>
        <v/>
      </c>
      <c r="AC13" s="128" t="n"/>
      <c r="AD13" s="58" t="n"/>
      <c r="AE13" s="58">
        <f>AF13/AD13</f>
        <v/>
      </c>
      <c r="AF13" s="129" t="n"/>
      <c r="AG13" s="55" t="n"/>
      <c r="AH13" s="55">
        <f>AI13/AG13</f>
        <v/>
      </c>
      <c r="AI13" s="128" t="n"/>
      <c r="AJ13" s="58" t="n"/>
      <c r="AK13" s="58">
        <f>AL13/AJ13</f>
        <v/>
      </c>
      <c r="AL13" s="129" t="n"/>
      <c r="AM13" s="55" t="n"/>
      <c r="AN13" s="55">
        <f>AO13/AM13</f>
        <v/>
      </c>
      <c r="AO13" s="128" t="n"/>
      <c r="AP13" s="58" t="n"/>
      <c r="AQ13" s="58">
        <f>AR13/AP13</f>
        <v/>
      </c>
      <c r="AR13" s="129" t="n"/>
      <c r="AS13" s="55" t="n">
        <v>10</v>
      </c>
      <c r="AT13" s="55">
        <f>AU13/AS13</f>
        <v/>
      </c>
      <c r="AU13" s="128" t="n">
        <v>15</v>
      </c>
      <c r="AV13" s="58" t="n"/>
      <c r="AW13" s="58">
        <f>AX13/AV13</f>
        <v/>
      </c>
      <c r="AX13" s="129" t="n"/>
      <c r="AY13" s="55" t="n"/>
      <c r="AZ13" s="55">
        <f>BA13/AY13</f>
        <v/>
      </c>
      <c r="BA13" s="55" t="n"/>
      <c r="BB13" s="58" t="n"/>
      <c r="BC13" s="58">
        <f>BD13/BB13</f>
        <v/>
      </c>
      <c r="BD13" s="58" t="n"/>
      <c r="BE13" s="55" t="n"/>
      <c r="BF13" s="55">
        <f>BG13/BE13</f>
        <v/>
      </c>
      <c r="BG13" s="128" t="n"/>
      <c r="BH13" s="58" t="n"/>
      <c r="BI13" s="58">
        <f>BJ13/BH13</f>
        <v/>
      </c>
      <c r="BJ13" s="129" t="n"/>
      <c r="BK13" s="56" t="n"/>
      <c r="BL13" s="56">
        <f>BM13/BK13</f>
        <v/>
      </c>
      <c r="BM13" s="131" t="n"/>
      <c r="BN13" s="58" t="n"/>
      <c r="BO13" s="58">
        <f>BP13/BN13</f>
        <v/>
      </c>
      <c r="BP13" s="129" t="n"/>
      <c r="BQ13" s="55" t="n"/>
      <c r="BR13" s="55">
        <f>BS13/BQ13</f>
        <v/>
      </c>
      <c r="BS13" s="128" t="n"/>
      <c r="BT13" s="58" t="n"/>
      <c r="BU13" s="58">
        <f>BV13/BT13</f>
        <v/>
      </c>
      <c r="BV13" s="129" t="n"/>
      <c r="BW13" s="55" t="n"/>
      <c r="BX13" s="55">
        <f>BY13/BW13</f>
        <v/>
      </c>
      <c r="BY13" s="128" t="n"/>
      <c r="BZ13" s="58" t="n"/>
      <c r="CA13" s="58">
        <f>CB13/BZ13</f>
        <v/>
      </c>
      <c r="CB13" s="129" t="n"/>
      <c r="CC13" s="55" t="n"/>
      <c r="CD13" s="55">
        <f>CE13/CC13</f>
        <v/>
      </c>
      <c r="CE13" s="128" t="n"/>
      <c r="CF13" s="58" t="n"/>
      <c r="CG13" s="58">
        <f>CH13/CF13</f>
        <v/>
      </c>
      <c r="CH13" s="129" t="n"/>
      <c r="CI13" s="55" t="n"/>
      <c r="CJ13" s="55">
        <f>CK13/CI13</f>
        <v/>
      </c>
      <c r="CK13" s="128" t="n"/>
      <c r="CL13" s="58" t="n"/>
      <c r="CM13" s="58">
        <f>CN13/CL13</f>
        <v/>
      </c>
      <c r="CN13" s="129" t="n"/>
      <c r="CO13" s="55" t="n"/>
      <c r="CP13" s="55">
        <f>CQ13/CO13</f>
        <v/>
      </c>
      <c r="CQ13" s="128" t="n"/>
      <c r="CR13" s="58" t="n"/>
      <c r="CS13" s="58">
        <f>CT13/CR13</f>
        <v/>
      </c>
      <c r="CT13" s="129" t="n"/>
      <c r="CU13" s="55" t="n"/>
      <c r="CV13" s="55">
        <f>CW13/CU13</f>
        <v/>
      </c>
      <c r="CW13" s="55" t="n"/>
    </row>
    <row r="14">
      <c r="A14" s="13" t="n">
        <v>12</v>
      </c>
      <c r="B14" s="13" t="inlineStr">
        <is>
          <t>ZC000012</t>
        </is>
      </c>
      <c r="C14" s="13" t="inlineStr">
        <is>
          <t>食品类</t>
        </is>
      </c>
      <c r="D14" s="13" t="inlineStr">
        <is>
          <t>菜籽油</t>
        </is>
      </c>
      <c r="E14" s="13" t="inlineStr">
        <is>
          <t>桶</t>
        </is>
      </c>
      <c r="F14" s="6">
        <f>I14+L14+O14+R14+U14+X14+AA14+AD14+AG14+AJ14+AM14+AP14+AS14+AV14+AY14+BB14+BE14+BH14+BK14+BN14+BQ14+BT14+BW14+BZ14+CC14+CF14+CI14+CL14+CO14+CR14+CU14</f>
        <v/>
      </c>
      <c r="G14" s="128">
        <f>H14/F14</f>
        <v/>
      </c>
      <c r="H14" s="6">
        <f>K14+N14+Q14+T14+W14+Z14+AC14+AF14+AI14+AL14+AO14+AR14+AU14+AX14+BA14+BD14+BG14+BJ14+BM14+BP14+BS14+BV14+BY14+CB14+CE14+CH14+CK14+CN14+CQ14+CT14+CW14</f>
        <v/>
      </c>
      <c r="I14" s="55" t="n"/>
      <c r="J14" s="55">
        <f>K14/I14</f>
        <v/>
      </c>
      <c r="K14" s="128" t="n"/>
      <c r="L14" s="56" t="n"/>
      <c r="M14" s="56">
        <f>N14/L14</f>
        <v/>
      </c>
      <c r="N14" s="131" t="n"/>
      <c r="O14" s="55" t="n"/>
      <c r="P14" s="132">
        <f>Q14/O14</f>
        <v/>
      </c>
      <c r="Q14" s="128" t="n"/>
      <c r="R14" s="58" t="n"/>
      <c r="S14" s="58">
        <f>T14/R14</f>
        <v/>
      </c>
      <c r="T14" s="129" t="n"/>
      <c r="U14" s="55" t="n"/>
      <c r="V14" s="55">
        <f>W14/U14</f>
        <v/>
      </c>
      <c r="W14" s="128" t="n"/>
      <c r="X14" s="58" t="n"/>
      <c r="Y14" s="58">
        <f>Z14/X14</f>
        <v/>
      </c>
      <c r="Z14" s="129" t="n"/>
      <c r="AA14" s="55" t="n"/>
      <c r="AB14" s="55">
        <f>AC14/AA14</f>
        <v/>
      </c>
      <c r="AC14" s="128" t="n"/>
      <c r="AD14" s="58" t="n"/>
      <c r="AE14" s="58">
        <f>AF14/AD14</f>
        <v/>
      </c>
      <c r="AF14" s="129" t="n"/>
      <c r="AG14" s="55" t="n"/>
      <c r="AH14" s="55">
        <f>AI14/AG14</f>
        <v/>
      </c>
      <c r="AI14" s="128" t="n"/>
      <c r="AJ14" s="58" t="n"/>
      <c r="AK14" s="58">
        <f>AL14/AJ14</f>
        <v/>
      </c>
      <c r="AL14" s="129" t="n"/>
      <c r="AM14" s="55" t="n"/>
      <c r="AN14" s="55">
        <f>AO14/AM14</f>
        <v/>
      </c>
      <c r="AO14" s="128" t="n"/>
      <c r="AP14" s="58" t="n"/>
      <c r="AQ14" s="58">
        <f>AR14/AP14</f>
        <v/>
      </c>
      <c r="AR14" s="129" t="n"/>
      <c r="AS14" s="55" t="n"/>
      <c r="AT14" s="55">
        <f>AU14/AS14</f>
        <v/>
      </c>
      <c r="AU14" s="128" t="n"/>
      <c r="AV14" s="58" t="n"/>
      <c r="AW14" s="58">
        <f>AX14/AV14</f>
        <v/>
      </c>
      <c r="AX14" s="129" t="n"/>
      <c r="AY14" s="55" t="n"/>
      <c r="AZ14" s="55">
        <f>BA14/AY14</f>
        <v/>
      </c>
      <c r="BA14" s="55" t="n"/>
      <c r="BB14" s="58" t="n"/>
      <c r="BC14" s="58" t="n"/>
      <c r="BD14" s="58" t="n"/>
      <c r="BE14" s="55" t="n"/>
      <c r="BF14" s="55">
        <f>BG14/BE14</f>
        <v/>
      </c>
      <c r="BG14" s="128" t="n"/>
      <c r="BH14" s="58" t="n"/>
      <c r="BI14" s="58">
        <f>BJ14/BH14</f>
        <v/>
      </c>
      <c r="BJ14" s="129" t="n"/>
      <c r="BK14" s="56" t="n"/>
      <c r="BL14" s="56">
        <f>BM14/BK14</f>
        <v/>
      </c>
      <c r="BM14" s="131" t="n"/>
      <c r="BN14" s="58" t="n"/>
      <c r="BO14" s="58">
        <f>BP14/BN14</f>
        <v/>
      </c>
      <c r="BP14" s="129" t="n"/>
      <c r="BQ14" s="55" t="n"/>
      <c r="BR14" s="55">
        <f>BS14/BQ14</f>
        <v/>
      </c>
      <c r="BS14" s="128" t="n"/>
      <c r="BT14" s="58" t="n"/>
      <c r="BU14" s="58">
        <f>BV14/BT14</f>
        <v/>
      </c>
      <c r="BV14" s="129" t="n"/>
      <c r="BW14" s="55" t="n"/>
      <c r="BX14" s="55">
        <f>BY14/BW14</f>
        <v/>
      </c>
      <c r="BY14" s="128" t="n"/>
      <c r="BZ14" s="58" t="n"/>
      <c r="CA14" s="58">
        <f>CB14/BZ14</f>
        <v/>
      </c>
      <c r="CB14" s="129" t="n"/>
      <c r="CC14" s="55" t="n"/>
      <c r="CD14" s="55">
        <f>CE14/CC14</f>
        <v/>
      </c>
      <c r="CE14" s="128" t="n"/>
      <c r="CF14" s="58" t="n"/>
      <c r="CG14" s="58">
        <f>CH14/CF14</f>
        <v/>
      </c>
      <c r="CH14" s="129" t="n"/>
      <c r="CI14" s="55" t="n"/>
      <c r="CJ14" s="55">
        <f>CK14/CI14</f>
        <v/>
      </c>
      <c r="CK14" s="128" t="n"/>
      <c r="CL14" s="58" t="n"/>
      <c r="CM14" s="58">
        <f>CN14/CL14</f>
        <v/>
      </c>
      <c r="CN14" s="129" t="n"/>
      <c r="CO14" s="55" t="n"/>
      <c r="CP14" s="55">
        <f>CQ14/CO14</f>
        <v/>
      </c>
      <c r="CQ14" s="128" t="n"/>
      <c r="CR14" s="58" t="n"/>
      <c r="CS14" s="58">
        <f>CT14/CR14</f>
        <v/>
      </c>
      <c r="CT14" s="129" t="n"/>
      <c r="CU14" s="55" t="n"/>
      <c r="CV14" s="55">
        <f>CW14/CU14</f>
        <v/>
      </c>
      <c r="CW14" s="55" t="n"/>
    </row>
    <row r="15" customFormat="1" s="46">
      <c r="A15" s="42" t="n">
        <v>13</v>
      </c>
      <c r="B15" s="42" t="inlineStr">
        <is>
          <t>ZC000013</t>
        </is>
      </c>
      <c r="C15" s="42" t="inlineStr">
        <is>
          <t>食品类</t>
        </is>
      </c>
      <c r="D15" s="42" t="inlineStr">
        <is>
          <t>薄荷叶</t>
        </is>
      </c>
      <c r="E15" s="42" t="inlineStr">
        <is>
          <t>盒</t>
        </is>
      </c>
      <c r="F15" s="61" t="n">
        <v>0</v>
      </c>
      <c r="G15" s="133">
        <f>H15/F15</f>
        <v/>
      </c>
      <c r="H15" s="61" t="n">
        <v>0</v>
      </c>
      <c r="I15" s="63" t="n"/>
      <c r="J15" s="63">
        <f>K15/I15</f>
        <v/>
      </c>
      <c r="K15" s="133" t="n"/>
      <c r="L15" s="56" t="n"/>
      <c r="M15" s="56">
        <f>N15/L15</f>
        <v/>
      </c>
      <c r="N15" s="131" t="n"/>
      <c r="O15" s="63" t="n"/>
      <c r="P15" s="134">
        <f>Q15/O15</f>
        <v/>
      </c>
      <c r="Q15" s="133" t="n"/>
      <c r="R15" s="58" t="n"/>
      <c r="S15" s="58">
        <f>T15/R15</f>
        <v/>
      </c>
      <c r="T15" s="129" t="n"/>
      <c r="U15" s="63" t="n"/>
      <c r="V15" s="63">
        <f>W15/U15</f>
        <v/>
      </c>
      <c r="W15" s="133" t="n"/>
      <c r="X15" s="58" t="n"/>
      <c r="Y15" s="58">
        <f>Z15/X15</f>
        <v/>
      </c>
      <c r="Z15" s="129" t="n"/>
      <c r="AA15" s="63" t="n"/>
      <c r="AB15" s="63">
        <f>AC15/AA15</f>
        <v/>
      </c>
      <c r="AC15" s="133" t="n"/>
      <c r="AD15" s="58" t="n"/>
      <c r="AE15" s="58">
        <f>AF15/AD15</f>
        <v/>
      </c>
      <c r="AF15" s="129" t="n"/>
      <c r="AG15" s="63" t="n"/>
      <c r="AH15" s="63">
        <f>AI15/AG15</f>
        <v/>
      </c>
      <c r="AI15" s="133" t="n"/>
      <c r="AJ15" s="58" t="n"/>
      <c r="AK15" s="58">
        <f>AL15/AJ15</f>
        <v/>
      </c>
      <c r="AL15" s="129" t="n"/>
      <c r="AM15" s="63" t="n">
        <v>1</v>
      </c>
      <c r="AN15" s="63">
        <f>AO15/AM15</f>
        <v/>
      </c>
      <c r="AO15" s="133" t="n">
        <v>10</v>
      </c>
      <c r="AP15" s="58" t="n">
        <v>1</v>
      </c>
      <c r="AQ15" s="58">
        <f>AR15/AP15</f>
        <v/>
      </c>
      <c r="AR15" s="129" t="n">
        <v>10</v>
      </c>
      <c r="AS15" s="63" t="n">
        <v>1</v>
      </c>
      <c r="AT15" s="63">
        <f>AU15/AS15</f>
        <v/>
      </c>
      <c r="AU15" s="133" t="n">
        <v>10</v>
      </c>
      <c r="AV15" s="58" t="n"/>
      <c r="AW15" s="58">
        <f>AX15/AV15</f>
        <v/>
      </c>
      <c r="AX15" s="129" t="n"/>
      <c r="AY15" s="63" t="n"/>
      <c r="AZ15" s="63">
        <f>BA15/AY15</f>
        <v/>
      </c>
      <c r="BA15" s="63" t="n"/>
      <c r="BB15" s="58" t="n"/>
      <c r="BC15" s="58">
        <f>BD15/BB15</f>
        <v/>
      </c>
      <c r="BD15" s="58" t="n"/>
      <c r="BE15" s="63" t="n"/>
      <c r="BF15" s="63">
        <f>BG15/BE15</f>
        <v/>
      </c>
      <c r="BG15" s="133" t="n"/>
      <c r="BH15" s="58" t="n"/>
      <c r="BI15" s="58">
        <f>BJ15/BH15</f>
        <v/>
      </c>
      <c r="BJ15" s="129" t="n"/>
      <c r="BK15" s="56" t="n"/>
      <c r="BL15" s="56">
        <f>BM15/BK15</f>
        <v/>
      </c>
      <c r="BM15" s="131" t="n"/>
      <c r="BN15" s="58" t="n"/>
      <c r="BO15" s="58">
        <f>BP15/BN15</f>
        <v/>
      </c>
      <c r="BP15" s="129" t="n"/>
      <c r="BQ15" s="63" t="n"/>
      <c r="BR15" s="63">
        <f>BS15/BQ15</f>
        <v/>
      </c>
      <c r="BS15" s="133" t="n"/>
      <c r="BT15" s="58" t="n"/>
      <c r="BU15" s="58">
        <f>BV15/BT15</f>
        <v/>
      </c>
      <c r="BV15" s="129" t="n"/>
      <c r="BW15" s="63" t="n"/>
      <c r="BX15" s="63">
        <f>BY15/BW15</f>
        <v/>
      </c>
      <c r="BY15" s="133" t="n"/>
      <c r="BZ15" s="58" t="n"/>
      <c r="CA15" s="58">
        <f>CB15/BZ15</f>
        <v/>
      </c>
      <c r="CB15" s="129" t="n"/>
      <c r="CC15" s="63" t="n"/>
      <c r="CD15" s="63">
        <f>CE15/CC15</f>
        <v/>
      </c>
      <c r="CE15" s="133" t="n"/>
      <c r="CF15" s="58" t="n"/>
      <c r="CG15" s="58">
        <f>CH15/CF15</f>
        <v/>
      </c>
      <c r="CH15" s="129" t="n"/>
      <c r="CI15" s="63" t="n"/>
      <c r="CJ15" s="63">
        <f>CK15/CI15</f>
        <v/>
      </c>
      <c r="CK15" s="133" t="n"/>
      <c r="CL15" s="58" t="n"/>
      <c r="CM15" s="58">
        <f>CN15/CL15</f>
        <v/>
      </c>
      <c r="CN15" s="129" t="n"/>
      <c r="CO15" s="63" t="n"/>
      <c r="CP15" s="63">
        <f>CQ15/CO15</f>
        <v/>
      </c>
      <c r="CQ15" s="133" t="n"/>
      <c r="CR15" s="58" t="n"/>
      <c r="CS15" s="58">
        <f>CT15/CR15</f>
        <v/>
      </c>
      <c r="CT15" s="129" t="n"/>
      <c r="CU15" s="63" t="n"/>
      <c r="CV15" s="63">
        <f>CW15/CU15</f>
        <v/>
      </c>
      <c r="CW15" s="63" t="n"/>
    </row>
    <row r="16">
      <c r="A16" s="13" t="n">
        <v>14</v>
      </c>
      <c r="B16" s="13" t="inlineStr">
        <is>
          <t>ZC000014</t>
        </is>
      </c>
      <c r="C16" s="13" t="inlineStr">
        <is>
          <t>食品类</t>
        </is>
      </c>
      <c r="D16" s="13" t="inlineStr">
        <is>
          <t>八角</t>
        </is>
      </c>
      <c r="E16" s="13" t="inlineStr">
        <is>
          <t>斤</t>
        </is>
      </c>
      <c r="F16" s="6">
        <f>I16+L16+O16+R16+U16+X16+AA16+AD16+AG16+AJ16+AM16+AP16+AS16+AV16+AY16+BB16+BE16+BH16+BK16+BN16+BQ16+BT16+BW16+BZ16+CC16+CF16+CI16+CL16+CO16+CR16+CU16</f>
        <v/>
      </c>
      <c r="G16" s="128">
        <f>H16/F16</f>
        <v/>
      </c>
      <c r="H16" s="6">
        <f>K16+N16+Q16+T16+W16+Z16+AC16+AF16+AI16+AL16+AO16+AR16+AU16+AX16+BA16+BD16+BG16+BJ16+BM16+BP16+BS16+BV16+BY16+CB16+CE16+CH16+CK16+CN16+CQ16+CT16+CW16</f>
        <v/>
      </c>
      <c r="I16" s="55" t="n"/>
      <c r="J16" s="55">
        <f>K16/I16</f>
        <v/>
      </c>
      <c r="K16" s="128" t="n"/>
      <c r="L16" s="56" t="n"/>
      <c r="M16" s="56">
        <f>N16/L16</f>
        <v/>
      </c>
      <c r="N16" s="131" t="n"/>
      <c r="O16" s="55" t="n"/>
      <c r="P16" s="55">
        <f>Q16/O16</f>
        <v/>
      </c>
      <c r="Q16" s="128" t="n"/>
      <c r="R16" s="58" t="n"/>
      <c r="S16" s="58">
        <f>T16/R16</f>
        <v/>
      </c>
      <c r="T16" s="129" t="n"/>
      <c r="U16" s="55" t="n"/>
      <c r="V16" s="55">
        <f>W16/U16</f>
        <v/>
      </c>
      <c r="W16" s="128" t="n"/>
      <c r="X16" s="58" t="n"/>
      <c r="Y16" s="58">
        <f>Z16/X16</f>
        <v/>
      </c>
      <c r="Z16" s="129" t="n"/>
      <c r="AA16" s="55" t="n"/>
      <c r="AB16" s="55">
        <f>AC16/AA16</f>
        <v/>
      </c>
      <c r="AC16" s="128" t="n"/>
      <c r="AD16" s="58" t="n"/>
      <c r="AE16" s="58">
        <f>AF16/AD16</f>
        <v/>
      </c>
      <c r="AF16" s="129" t="n"/>
      <c r="AG16" s="55" t="n"/>
      <c r="AH16" s="55">
        <f>AI16/AG16</f>
        <v/>
      </c>
      <c r="AI16" s="128" t="n"/>
      <c r="AJ16" s="58" t="n"/>
      <c r="AK16" s="58">
        <f>AL16/AJ16</f>
        <v/>
      </c>
      <c r="AL16" s="129" t="n"/>
      <c r="AM16" s="55" t="n"/>
      <c r="AN16" s="55">
        <f>AO16/AM16</f>
        <v/>
      </c>
      <c r="AO16" s="128" t="n"/>
      <c r="AP16" s="58" t="n"/>
      <c r="AQ16" s="58">
        <f>AR16/AP16</f>
        <v/>
      </c>
      <c r="AR16" s="129" t="n"/>
      <c r="AS16" s="55" t="n"/>
      <c r="AT16" s="55">
        <f>AU16/AS16</f>
        <v/>
      </c>
      <c r="AU16" s="128" t="n"/>
      <c r="AV16" s="58" t="n"/>
      <c r="AW16" s="58">
        <f>AX16/AV16</f>
        <v/>
      </c>
      <c r="AX16" s="129" t="n"/>
      <c r="AY16" s="55" t="n"/>
      <c r="AZ16" s="55">
        <f>BA16/AY16</f>
        <v/>
      </c>
      <c r="BA16" s="55" t="n"/>
      <c r="BB16" s="58" t="n"/>
      <c r="BC16" s="58">
        <f>BD16/BB16</f>
        <v/>
      </c>
      <c r="BD16" s="58" t="n"/>
      <c r="BE16" s="55" t="n"/>
      <c r="BF16" s="55">
        <f>BG16/BE16</f>
        <v/>
      </c>
      <c r="BG16" s="128" t="n"/>
      <c r="BH16" s="58" t="n"/>
      <c r="BI16" s="58">
        <f>BJ16/BH16</f>
        <v/>
      </c>
      <c r="BJ16" s="129" t="n"/>
      <c r="BK16" s="56" t="n"/>
      <c r="BL16" s="56">
        <f>BM16/BK16</f>
        <v/>
      </c>
      <c r="BM16" s="131" t="n"/>
      <c r="BN16" s="58" t="n"/>
      <c r="BO16" s="58">
        <f>BP16/BN16</f>
        <v/>
      </c>
      <c r="BP16" s="129" t="n"/>
      <c r="BQ16" s="55" t="n"/>
      <c r="BR16" s="55">
        <f>BS16/BQ16</f>
        <v/>
      </c>
      <c r="BS16" s="128" t="n"/>
      <c r="BT16" s="58" t="n"/>
      <c r="BU16" s="58">
        <f>BV16/BT16</f>
        <v/>
      </c>
      <c r="BV16" s="129" t="n"/>
      <c r="BW16" s="55" t="n"/>
      <c r="BX16" s="55">
        <f>BY16/BW16</f>
        <v/>
      </c>
      <c r="BY16" s="128" t="n"/>
      <c r="BZ16" s="58" t="n"/>
      <c r="CA16" s="58">
        <f>CB16/BZ16</f>
        <v/>
      </c>
      <c r="CB16" s="129" t="n"/>
      <c r="CC16" s="55" t="n"/>
      <c r="CD16" s="55">
        <f>CE16/CC16</f>
        <v/>
      </c>
      <c r="CE16" s="128" t="n"/>
      <c r="CF16" s="58" t="n"/>
      <c r="CG16" s="58">
        <f>CH16/CF16</f>
        <v/>
      </c>
      <c r="CH16" s="129" t="n"/>
      <c r="CI16" s="55" t="n"/>
      <c r="CJ16" s="55">
        <f>CK16/CI16</f>
        <v/>
      </c>
      <c r="CK16" s="128" t="n"/>
      <c r="CL16" s="58" t="n"/>
      <c r="CM16" s="58">
        <f>CN16/CL16</f>
        <v/>
      </c>
      <c r="CN16" s="129" t="n"/>
      <c r="CO16" s="55" t="n"/>
      <c r="CP16" s="55">
        <f>CQ16/CO16</f>
        <v/>
      </c>
      <c r="CQ16" s="128" t="n"/>
      <c r="CR16" s="58" t="n"/>
      <c r="CS16" s="58">
        <f>CT16/CR16</f>
        <v/>
      </c>
      <c r="CT16" s="129" t="n"/>
      <c r="CU16" s="55" t="n"/>
      <c r="CV16" s="55">
        <f>CW16/CU16</f>
        <v/>
      </c>
      <c r="CW16" s="55" t="n"/>
    </row>
    <row r="17">
      <c r="A17" s="13" t="n">
        <v>15</v>
      </c>
      <c r="B17" s="13" t="inlineStr">
        <is>
          <t>ZC000015</t>
        </is>
      </c>
      <c r="C17" s="13" t="inlineStr">
        <is>
          <t>食品类</t>
        </is>
      </c>
      <c r="D17" s="13" t="inlineStr">
        <is>
          <t>香叶</t>
        </is>
      </c>
      <c r="E17" s="13" t="inlineStr">
        <is>
          <t>斤</t>
        </is>
      </c>
      <c r="F17" s="6">
        <f>I17+L17+O17+R17+U17+X17+AA17+AD17+AG17+AJ17+AM17+AP17+AS17+AV17+AY17+BB17+BE17+BH17+BK17+BN17+BQ17+BT17+BW17+BZ17+CC17+CF17+CI17+CL17+CO17+CR17+CU17</f>
        <v/>
      </c>
      <c r="G17" s="128">
        <f>H17/F17</f>
        <v/>
      </c>
      <c r="H17" s="6">
        <f>K17+N17+Q17+T17+W17+Z17+AC17+AF17+AI17+AL17+AO17+AR17+AU17+AX17+BA17+BD17+BG17+BJ17+BM17+BP17+BS17+BV17+BY17+CB17+CE17+CH17+CK17+CN17+CQ17+CT17+CW17</f>
        <v/>
      </c>
      <c r="I17" s="55" t="n"/>
      <c r="J17" s="55">
        <f>K17/I17</f>
        <v/>
      </c>
      <c r="K17" s="128" t="n"/>
      <c r="L17" s="56" t="n"/>
      <c r="M17" s="56">
        <f>N17/L17</f>
        <v/>
      </c>
      <c r="N17" s="131" t="n"/>
      <c r="O17" s="55" t="n"/>
      <c r="P17" s="55">
        <f>Q17/O17</f>
        <v/>
      </c>
      <c r="Q17" s="128" t="n"/>
      <c r="R17" s="58" t="n"/>
      <c r="S17" s="58">
        <f>T17/R17</f>
        <v/>
      </c>
      <c r="T17" s="129" t="n"/>
      <c r="U17" s="55" t="n"/>
      <c r="V17" s="55">
        <f>W17/U17</f>
        <v/>
      </c>
      <c r="W17" s="128" t="n"/>
      <c r="X17" s="58" t="n"/>
      <c r="Y17" s="58">
        <f>Z17/X17</f>
        <v/>
      </c>
      <c r="Z17" s="129" t="n"/>
      <c r="AA17" s="55" t="n"/>
      <c r="AB17" s="55">
        <f>AC17/AA17</f>
        <v/>
      </c>
      <c r="AC17" s="128" t="n"/>
      <c r="AD17" s="58" t="n"/>
      <c r="AE17" s="58">
        <f>AF17/AD17</f>
        <v/>
      </c>
      <c r="AF17" s="129" t="n"/>
      <c r="AG17" s="55" t="n"/>
      <c r="AH17" s="55">
        <f>AI17/AG17</f>
        <v/>
      </c>
      <c r="AI17" s="128" t="n"/>
      <c r="AJ17" s="58" t="n"/>
      <c r="AK17" s="58">
        <f>AL17/AJ17</f>
        <v/>
      </c>
      <c r="AL17" s="129" t="n"/>
      <c r="AM17" s="55" t="n"/>
      <c r="AN17" s="55">
        <f>AO17/AM17</f>
        <v/>
      </c>
      <c r="AO17" s="128" t="n"/>
      <c r="AP17" s="58" t="n"/>
      <c r="AQ17" s="58">
        <f>AR17/AP17</f>
        <v/>
      </c>
      <c r="AR17" s="129" t="n"/>
      <c r="AS17" s="55" t="n"/>
      <c r="AT17" s="55">
        <f>AU17/AS17</f>
        <v/>
      </c>
      <c r="AU17" s="128" t="n"/>
      <c r="AV17" s="58" t="n"/>
      <c r="AW17" s="58">
        <f>AX17/AV17</f>
        <v/>
      </c>
      <c r="AX17" s="129" t="n"/>
      <c r="AY17" s="55" t="n"/>
      <c r="AZ17" s="55">
        <f>BA17/AY17</f>
        <v/>
      </c>
      <c r="BA17" s="55" t="n"/>
      <c r="BB17" s="58" t="n"/>
      <c r="BC17" s="58">
        <f>BD17/BB17</f>
        <v/>
      </c>
      <c r="BD17" s="58" t="n"/>
      <c r="BE17" s="55" t="n"/>
      <c r="BF17" s="55">
        <f>BG17/BE17</f>
        <v/>
      </c>
      <c r="BG17" s="128" t="n"/>
      <c r="BH17" s="58" t="n"/>
      <c r="BI17" s="58">
        <f>BJ17/BH17</f>
        <v/>
      </c>
      <c r="BJ17" s="129" t="n"/>
      <c r="BK17" s="56" t="n"/>
      <c r="BL17" s="56">
        <f>BM17/BK17</f>
        <v/>
      </c>
      <c r="BM17" s="131" t="n"/>
      <c r="BN17" s="58" t="n"/>
      <c r="BO17" s="58">
        <f>BP17/BN17</f>
        <v/>
      </c>
      <c r="BP17" s="129" t="n"/>
      <c r="BQ17" s="55" t="n"/>
      <c r="BR17" s="55">
        <f>BS17/BQ17</f>
        <v/>
      </c>
      <c r="BS17" s="128" t="n"/>
      <c r="BT17" s="58" t="n"/>
      <c r="BU17" s="58">
        <f>BV17/BT17</f>
        <v/>
      </c>
      <c r="BV17" s="129" t="n"/>
      <c r="BW17" s="55" t="n"/>
      <c r="BX17" s="55">
        <f>BY17/BW17</f>
        <v/>
      </c>
      <c r="BY17" s="128" t="n"/>
      <c r="BZ17" s="58" t="n"/>
      <c r="CA17" s="58">
        <f>CB17/BZ17</f>
        <v/>
      </c>
      <c r="CB17" s="129" t="n"/>
      <c r="CC17" s="55" t="n"/>
      <c r="CD17" s="55">
        <f>CE17/CC17</f>
        <v/>
      </c>
      <c r="CE17" s="128" t="n"/>
      <c r="CF17" s="58" t="n"/>
      <c r="CG17" s="58">
        <f>CH17/CF17</f>
        <v/>
      </c>
      <c r="CH17" s="129" t="n"/>
      <c r="CI17" s="55" t="n"/>
      <c r="CJ17" s="55">
        <f>CK17/CI17</f>
        <v/>
      </c>
      <c r="CK17" s="128" t="n"/>
      <c r="CL17" s="58" t="n"/>
      <c r="CM17" s="58">
        <f>CN17/CL17</f>
        <v/>
      </c>
      <c r="CN17" s="129" t="n"/>
      <c r="CO17" s="55" t="n"/>
      <c r="CP17" s="55">
        <f>CQ17/CO17</f>
        <v/>
      </c>
      <c r="CQ17" s="128" t="n"/>
      <c r="CR17" s="58" t="n"/>
      <c r="CS17" s="58">
        <f>CT17/CR17</f>
        <v/>
      </c>
      <c r="CT17" s="129" t="n"/>
      <c r="CU17" s="55" t="n"/>
      <c r="CV17" s="55">
        <f>CW17/CU17</f>
        <v/>
      </c>
      <c r="CW17" s="55" t="n"/>
    </row>
    <row r="18" ht="13" customHeight="1" s="3">
      <c r="A18" s="13" t="n">
        <v>16</v>
      </c>
      <c r="B18" s="13" t="inlineStr">
        <is>
          <t>ZC000016</t>
        </is>
      </c>
      <c r="C18" s="13" t="inlineStr">
        <is>
          <t>食品类</t>
        </is>
      </c>
      <c r="D18" s="13" t="inlineStr">
        <is>
          <t>香草</t>
        </is>
      </c>
      <c r="E18" s="13" t="inlineStr">
        <is>
          <t>斤</t>
        </is>
      </c>
      <c r="F18" s="6">
        <f>I18+L18+O18+R18+U18+X18+AA18+AD18+AG18+AJ18+AM18+AP18+AS18+AV18+AY18+BB18+BE18+BH18+BK18+BN18+BQ18+BT18+BW18+BZ18+CC18+CF18+CI18+CL18+CO18+CR18+CU18</f>
        <v/>
      </c>
      <c r="G18" s="128">
        <f>H18/F18</f>
        <v/>
      </c>
      <c r="H18" s="6">
        <f>K18+N18+Q18+T18+W18+Z18+AC18+AF18+AI18+AL18+AO18+AR18+AU18+AX18+BA18+BD18+BG18+BJ18+BM18+BP18+BS18+BV18+BY18+CB18+CE18+CH18+CK18+CN18+CQ18+CT18+CW18</f>
        <v/>
      </c>
      <c r="I18" s="55" t="n"/>
      <c r="J18" s="55">
        <f>K18/I18</f>
        <v/>
      </c>
      <c r="K18" s="128" t="n"/>
      <c r="L18" s="56" t="n"/>
      <c r="M18" s="56">
        <f>N18/L18</f>
        <v/>
      </c>
      <c r="N18" s="131" t="n"/>
      <c r="O18" s="55" t="n"/>
      <c r="P18" s="55">
        <f>Q18/O18</f>
        <v/>
      </c>
      <c r="Q18" s="128" t="n"/>
      <c r="R18" s="58" t="n"/>
      <c r="S18" s="58">
        <f>T18/R18</f>
        <v/>
      </c>
      <c r="T18" s="129" t="n"/>
      <c r="U18" s="55" t="n"/>
      <c r="V18" s="55">
        <f>W18/U18</f>
        <v/>
      </c>
      <c r="W18" s="128" t="n"/>
      <c r="X18" s="58" t="n"/>
      <c r="Y18" s="58">
        <f>Z18/X18</f>
        <v/>
      </c>
      <c r="Z18" s="129" t="n"/>
      <c r="AA18" s="55" t="n"/>
      <c r="AB18" s="55">
        <f>AC18/AA18</f>
        <v/>
      </c>
      <c r="AC18" s="128" t="n"/>
      <c r="AD18" s="58" t="n"/>
      <c r="AE18" s="58">
        <f>AF18/AD18</f>
        <v/>
      </c>
      <c r="AF18" s="129" t="n"/>
      <c r="AG18" s="55" t="n"/>
      <c r="AH18" s="55">
        <f>AI18/AG18</f>
        <v/>
      </c>
      <c r="AI18" s="128" t="n"/>
      <c r="AJ18" s="58" t="n"/>
      <c r="AK18" s="58">
        <f>AL18/AJ18</f>
        <v/>
      </c>
      <c r="AL18" s="129" t="n"/>
      <c r="AM18" s="55" t="n"/>
      <c r="AN18" s="55">
        <f>AO18/AM18</f>
        <v/>
      </c>
      <c r="AO18" s="128" t="n"/>
      <c r="AP18" s="58" t="n"/>
      <c r="AQ18" s="58">
        <f>AR18/AP18</f>
        <v/>
      </c>
      <c r="AR18" s="129" t="n"/>
      <c r="AS18" s="55" t="n"/>
      <c r="AT18" s="55">
        <f>AU18/AS18</f>
        <v/>
      </c>
      <c r="AU18" s="128" t="n"/>
      <c r="AV18" s="58" t="n"/>
      <c r="AW18" s="58">
        <f>AX18/AV18</f>
        <v/>
      </c>
      <c r="AX18" s="129" t="n"/>
      <c r="AY18" s="55" t="n"/>
      <c r="AZ18" s="55">
        <f>BA18/AY18</f>
        <v/>
      </c>
      <c r="BA18" s="55" t="n"/>
      <c r="BB18" s="58" t="n"/>
      <c r="BC18" s="58">
        <f>BD18/BB18</f>
        <v/>
      </c>
      <c r="BD18" s="58" t="n"/>
      <c r="BE18" s="55" t="n"/>
      <c r="BF18" s="55">
        <f>BG18/BE18</f>
        <v/>
      </c>
      <c r="BG18" s="128" t="n"/>
      <c r="BH18" s="58" t="n"/>
      <c r="BI18" s="58">
        <f>BJ18/BH18</f>
        <v/>
      </c>
      <c r="BJ18" s="129" t="n"/>
      <c r="BK18" s="56" t="n"/>
      <c r="BL18" s="56">
        <f>BM18/BK18</f>
        <v/>
      </c>
      <c r="BM18" s="131" t="n"/>
      <c r="BN18" s="58" t="n"/>
      <c r="BO18" s="58">
        <f>BP18/BN18</f>
        <v/>
      </c>
      <c r="BP18" s="129" t="n"/>
      <c r="BQ18" s="55" t="n"/>
      <c r="BR18" s="55">
        <f>BS18/BQ18</f>
        <v/>
      </c>
      <c r="BS18" s="128" t="n"/>
      <c r="BT18" s="58" t="n"/>
      <c r="BU18" s="58">
        <f>BV18/BT18</f>
        <v/>
      </c>
      <c r="BV18" s="129" t="n"/>
      <c r="BW18" s="55" t="n"/>
      <c r="BX18" s="55">
        <f>BY18/BW18</f>
        <v/>
      </c>
      <c r="BY18" s="128" t="n"/>
      <c r="BZ18" s="58" t="n"/>
      <c r="CA18" s="58">
        <f>CB18/BZ18</f>
        <v/>
      </c>
      <c r="CB18" s="129" t="n"/>
      <c r="CC18" s="55" t="n"/>
      <c r="CD18" s="55">
        <f>CE18/CC18</f>
        <v/>
      </c>
      <c r="CE18" s="128" t="n"/>
      <c r="CF18" s="58" t="n"/>
      <c r="CG18" s="58">
        <f>CH18/CF18</f>
        <v/>
      </c>
      <c r="CH18" s="129" t="n"/>
      <c r="CI18" s="55" t="n"/>
      <c r="CJ18" s="55">
        <f>CK18/CI18</f>
        <v/>
      </c>
      <c r="CK18" s="128" t="n"/>
      <c r="CL18" s="58" t="n"/>
      <c r="CM18" s="58">
        <f>CN18/CL18</f>
        <v/>
      </c>
      <c r="CN18" s="129" t="n"/>
      <c r="CO18" s="55" t="n"/>
      <c r="CP18" s="55">
        <f>CQ18/CO18</f>
        <v/>
      </c>
      <c r="CQ18" s="128" t="n"/>
      <c r="CR18" s="58" t="n"/>
      <c r="CS18" s="58">
        <f>CT18/CR18</f>
        <v/>
      </c>
      <c r="CT18" s="129" t="n"/>
      <c r="CU18" s="55" t="n"/>
      <c r="CV18" s="55">
        <f>CW18/CU18</f>
        <v/>
      </c>
      <c r="CW18" s="55" t="n"/>
    </row>
    <row r="19" ht="13" customFormat="1" customHeight="1" s="46">
      <c r="A19" s="42" t="n">
        <v>17</v>
      </c>
      <c r="B19" s="42" t="inlineStr">
        <is>
          <t>ZC000017</t>
        </is>
      </c>
      <c r="C19" s="42" t="inlineStr">
        <is>
          <t>食品类</t>
        </is>
      </c>
      <c r="D19" s="42" t="inlineStr">
        <is>
          <t>绿豆芽</t>
        </is>
      </c>
      <c r="E19" s="42" t="inlineStr">
        <is>
          <t>斤</t>
        </is>
      </c>
      <c r="F19" s="61">
        <f>I19+L19+O19+R19+U19+X19+AA19+AD19+AG19+AJ19+AM19+AP19+AS19+AV19+AY19+BB19+BE19+BH19+BK19+BN19+BQ19+BT19+BW19+BZ19+CC19+CF19+CI19+CL19+CO19+CR19+CU19</f>
        <v/>
      </c>
      <c r="G19" s="133">
        <f>H19/F19</f>
        <v/>
      </c>
      <c r="H19" s="61">
        <f>K19+N19+Q19+T19+W19+Z19+AC19+AF19+AI19+AL19+AO19+AR19+AU19+AX19+BA19+BD19+BG19+BJ19+BM19+BP19+BS19+BV19+BY19+CB19+CE19+CH19+CK19+CN19+CQ19+CT19+CW19</f>
        <v/>
      </c>
      <c r="I19" s="63" t="n"/>
      <c r="J19" s="63">
        <f>K19/I19</f>
        <v/>
      </c>
      <c r="K19" s="133" t="n"/>
      <c r="L19" s="63" t="n"/>
      <c r="M19" s="63">
        <f>N19/L19</f>
        <v/>
      </c>
      <c r="N19" s="133" t="n"/>
      <c r="O19" s="63" t="n"/>
      <c r="P19" s="134">
        <f>Q19/O19</f>
        <v/>
      </c>
      <c r="Q19" s="133" t="n"/>
      <c r="R19" s="63" t="n"/>
      <c r="S19" s="63">
        <f>T19/R19</f>
        <v/>
      </c>
      <c r="T19" s="133" t="n"/>
      <c r="U19" s="63" t="n"/>
      <c r="V19" s="63">
        <f>W19/U19</f>
        <v/>
      </c>
      <c r="W19" s="133" t="n"/>
      <c r="X19" s="63" t="n"/>
      <c r="Y19" s="63">
        <f>Z19/X19</f>
        <v/>
      </c>
      <c r="Z19" s="133" t="n"/>
      <c r="AA19" s="63" t="n"/>
      <c r="AB19" s="63">
        <f>AC19/AA19</f>
        <v/>
      </c>
      <c r="AC19" s="133" t="n"/>
      <c r="AD19" s="63" t="n"/>
      <c r="AE19" s="63">
        <f>AF19/AD19</f>
        <v/>
      </c>
      <c r="AF19" s="133" t="n"/>
      <c r="AG19" s="63" t="n"/>
      <c r="AH19" s="63">
        <f>AI19/AG19</f>
        <v/>
      </c>
      <c r="AI19" s="133" t="n"/>
      <c r="AJ19" s="63" t="n"/>
      <c r="AK19" s="63">
        <f>AL19/AJ19</f>
        <v/>
      </c>
      <c r="AL19" s="133" t="n"/>
      <c r="AM19" s="63" t="n">
        <v>3</v>
      </c>
      <c r="AN19" s="63">
        <f>AO19/AM19</f>
        <v/>
      </c>
      <c r="AO19" s="133" t="n">
        <v>5</v>
      </c>
      <c r="AP19" s="63" t="n">
        <v>1</v>
      </c>
      <c r="AQ19" s="63">
        <f>AR19/AP19</f>
        <v/>
      </c>
      <c r="AR19" s="133" t="n">
        <v>2</v>
      </c>
      <c r="AS19" s="63" t="n">
        <v>1</v>
      </c>
      <c r="AT19" s="63">
        <f>AU19/AS19</f>
        <v/>
      </c>
      <c r="AU19" s="133" t="n">
        <v>2</v>
      </c>
      <c r="AV19" s="63" t="n"/>
      <c r="AW19" s="63">
        <f>AX19/AV19</f>
        <v/>
      </c>
      <c r="AX19" s="133" t="n"/>
      <c r="AY19" s="63" t="n"/>
      <c r="AZ19" s="63">
        <f>BA19/AY19</f>
        <v/>
      </c>
      <c r="BA19" s="63" t="n"/>
      <c r="BB19" s="63" t="n"/>
      <c r="BC19" s="63">
        <f>BD19/BB19</f>
        <v/>
      </c>
      <c r="BD19" s="63" t="n"/>
      <c r="BE19" s="63" t="n"/>
      <c r="BF19" s="63">
        <f>BG19/BE19</f>
        <v/>
      </c>
      <c r="BG19" s="133" t="n"/>
      <c r="BH19" s="63" t="n"/>
      <c r="BI19" s="63">
        <f>BJ19/BH19</f>
        <v/>
      </c>
      <c r="BJ19" s="133" t="n"/>
      <c r="BK19" s="56" t="n"/>
      <c r="BL19" s="56">
        <f>BM19/BK19</f>
        <v/>
      </c>
      <c r="BM19" s="131" t="n"/>
      <c r="BN19" s="63" t="n"/>
      <c r="BO19" s="63">
        <f>BP19/BN19</f>
        <v/>
      </c>
      <c r="BP19" s="133" t="n"/>
      <c r="BQ19" s="63" t="n"/>
      <c r="BR19" s="63">
        <f>BS19/BQ19</f>
        <v/>
      </c>
      <c r="BS19" s="133" t="n"/>
      <c r="BT19" s="63" t="n"/>
      <c r="BU19" s="63">
        <f>BV19/BT19</f>
        <v/>
      </c>
      <c r="BV19" s="133" t="n"/>
      <c r="BW19" s="63" t="n"/>
      <c r="BX19" s="63">
        <f>BY19/BW19</f>
        <v/>
      </c>
      <c r="BY19" s="133" t="n"/>
      <c r="BZ19" s="63" t="n"/>
      <c r="CA19" s="63">
        <f>CB19/BZ19</f>
        <v/>
      </c>
      <c r="CB19" s="133" t="n"/>
      <c r="CC19" s="63" t="n"/>
      <c r="CD19" s="63">
        <f>CE19/CC19</f>
        <v/>
      </c>
      <c r="CE19" s="133" t="n"/>
      <c r="CF19" s="63" t="n"/>
      <c r="CG19" s="63">
        <f>CH19/CF19</f>
        <v/>
      </c>
      <c r="CH19" s="133" t="n"/>
      <c r="CI19" s="63" t="n"/>
      <c r="CJ19" s="63">
        <f>CK19/CI19</f>
        <v/>
      </c>
      <c r="CK19" s="133" t="n"/>
      <c r="CL19" s="63" t="n"/>
      <c r="CM19" s="63">
        <f>CN19/CL19</f>
        <v/>
      </c>
      <c r="CN19" s="133" t="n"/>
      <c r="CO19" s="63" t="n"/>
      <c r="CP19" s="63">
        <f>CQ19/CO19</f>
        <v/>
      </c>
      <c r="CQ19" s="133" t="n"/>
      <c r="CR19" s="63" t="n"/>
      <c r="CS19" s="63">
        <f>CT19/CR19</f>
        <v/>
      </c>
      <c r="CT19" s="133" t="n"/>
      <c r="CU19" s="63" t="n"/>
      <c r="CV19" s="63">
        <f>CW19/CU19</f>
        <v/>
      </c>
      <c r="CW19" s="63" t="n"/>
    </row>
    <row r="20">
      <c r="A20" s="13" t="n">
        <v>18</v>
      </c>
      <c r="B20" s="13" t="inlineStr">
        <is>
          <t>ZC000018</t>
        </is>
      </c>
      <c r="C20" s="13" t="inlineStr">
        <is>
          <t>食品类</t>
        </is>
      </c>
      <c r="D20" s="13" t="inlineStr">
        <is>
          <t>东古鸡精</t>
        </is>
      </c>
      <c r="E20" s="13" t="inlineStr">
        <is>
          <t>袋</t>
        </is>
      </c>
      <c r="F20" s="6">
        <f>I20+L20+O20+R20+U20+X20+AA20+AD20+AG20+AJ20+AM20+AP20+AS20+AV20+AY20+BB20+BE20+BH20+BK20+BN20+BQ20+BT20+BW20+BZ20+CC20+CF20+CI20+CL20+CO20+CR20+CU20</f>
        <v/>
      </c>
      <c r="G20" s="128">
        <f>H20/F20</f>
        <v/>
      </c>
      <c r="H20" s="6">
        <f>K20+N20+Q20+T20+W20+Z20+AC20+AF20+AI20+AL20+AO20+AR20+AU20+AX20+BA20+BD20+BG20+BJ20+BM20+BP20+BS20+BV20+BY20+CB20+CE20+CH20+CK20+CN20+CQ20+CT20+CW20</f>
        <v/>
      </c>
      <c r="I20" s="55" t="n"/>
      <c r="J20" s="55">
        <f>K20/I20</f>
        <v/>
      </c>
      <c r="K20" s="128" t="n"/>
      <c r="L20" s="56" t="n"/>
      <c r="M20" s="56">
        <f>N20/L20</f>
        <v/>
      </c>
      <c r="N20" s="131" t="n"/>
      <c r="O20" s="55" t="n"/>
      <c r="P20" s="55">
        <f>Q20/O20</f>
        <v/>
      </c>
      <c r="Q20" s="128" t="n"/>
      <c r="R20" s="58" t="n"/>
      <c r="S20" s="58">
        <f>T20/R20</f>
        <v/>
      </c>
      <c r="T20" s="129" t="n"/>
      <c r="U20" s="55" t="n"/>
      <c r="V20" s="55">
        <f>W20/U20</f>
        <v/>
      </c>
      <c r="W20" s="128" t="n"/>
      <c r="X20" s="58" t="n"/>
      <c r="Y20" s="58">
        <f>Z20/X20</f>
        <v/>
      </c>
      <c r="Z20" s="129" t="n"/>
      <c r="AA20" s="55" t="n"/>
      <c r="AB20" s="55">
        <f>AC20/AA20</f>
        <v/>
      </c>
      <c r="AC20" s="128" t="n"/>
      <c r="AD20" s="58" t="n"/>
      <c r="AE20" s="58">
        <f>AF20/AD20</f>
        <v/>
      </c>
      <c r="AF20" s="129" t="n"/>
      <c r="AG20" s="55" t="n"/>
      <c r="AH20" s="55">
        <f>AI20/AG20</f>
        <v/>
      </c>
      <c r="AI20" s="128" t="n"/>
      <c r="AJ20" s="58" t="n"/>
      <c r="AK20" s="58">
        <f>AL20/AJ20</f>
        <v/>
      </c>
      <c r="AL20" s="129" t="n"/>
      <c r="AM20" s="55" t="n"/>
      <c r="AN20" s="55">
        <f>AO20/AM20</f>
        <v/>
      </c>
      <c r="AO20" s="128" t="n"/>
      <c r="AP20" s="58" t="n"/>
      <c r="AQ20" s="58">
        <f>AR20/AP20</f>
        <v/>
      </c>
      <c r="AR20" s="129" t="n"/>
      <c r="AS20" s="55" t="n"/>
      <c r="AT20" s="55">
        <f>AU20/AS20</f>
        <v/>
      </c>
      <c r="AU20" s="128" t="n"/>
      <c r="AV20" s="58" t="n"/>
      <c r="AW20" s="58">
        <f>AX20/AV20</f>
        <v/>
      </c>
      <c r="AX20" s="129" t="n"/>
      <c r="AY20" s="55" t="n"/>
      <c r="AZ20" s="55">
        <f>BA20/AY20</f>
        <v/>
      </c>
      <c r="BA20" s="55" t="n"/>
      <c r="BB20" s="58" t="n"/>
      <c r="BC20" s="58">
        <f>BD20/BB20</f>
        <v/>
      </c>
      <c r="BD20" s="58" t="n"/>
      <c r="BE20" s="55" t="n"/>
      <c r="BF20" s="55">
        <f>BG20/BE20</f>
        <v/>
      </c>
      <c r="BG20" s="128" t="n"/>
      <c r="BH20" s="58" t="n"/>
      <c r="BI20" s="58">
        <f>BJ20/BH20</f>
        <v/>
      </c>
      <c r="BJ20" s="129" t="n"/>
      <c r="BK20" s="56" t="n"/>
      <c r="BL20" s="56">
        <f>BM20/BK20</f>
        <v/>
      </c>
      <c r="BM20" s="131" t="n"/>
      <c r="BN20" s="58" t="n"/>
      <c r="BO20" s="58">
        <f>BP20/BN20</f>
        <v/>
      </c>
      <c r="BP20" s="129" t="n"/>
      <c r="BQ20" s="55" t="n"/>
      <c r="BR20" s="55">
        <f>BS20/BQ20</f>
        <v/>
      </c>
      <c r="BS20" s="128" t="n"/>
      <c r="BT20" s="58" t="n"/>
      <c r="BU20" s="58">
        <f>BV20/BT20</f>
        <v/>
      </c>
      <c r="BV20" s="129" t="n"/>
      <c r="BW20" s="55" t="n"/>
      <c r="BX20" s="55">
        <f>BY20/BW20</f>
        <v/>
      </c>
      <c r="BY20" s="128" t="n"/>
      <c r="BZ20" s="58" t="n"/>
      <c r="CA20" s="58">
        <f>CB20/BZ20</f>
        <v/>
      </c>
      <c r="CB20" s="129" t="n"/>
      <c r="CC20" s="55" t="n"/>
      <c r="CD20" s="55">
        <f>CE20/CC20</f>
        <v/>
      </c>
      <c r="CE20" s="128" t="n"/>
      <c r="CF20" s="58" t="n"/>
      <c r="CG20" s="58">
        <f>CH20/CF20</f>
        <v/>
      </c>
      <c r="CH20" s="129" t="n"/>
      <c r="CI20" s="55" t="n"/>
      <c r="CJ20" s="55">
        <f>CK20/CI20</f>
        <v/>
      </c>
      <c r="CK20" s="128" t="n"/>
      <c r="CL20" s="58" t="n"/>
      <c r="CM20" s="58">
        <f>CN20/CL20</f>
        <v/>
      </c>
      <c r="CN20" s="129" t="n"/>
      <c r="CO20" s="55" t="n"/>
      <c r="CP20" s="55">
        <f>CQ20/CO20</f>
        <v/>
      </c>
      <c r="CQ20" s="128" t="n"/>
      <c r="CR20" s="58" t="n"/>
      <c r="CS20" s="58">
        <f>CT20/CR20</f>
        <v/>
      </c>
      <c r="CT20" s="129" t="n"/>
      <c r="CU20" s="55" t="n"/>
      <c r="CV20" s="55">
        <f>CW20/CU20</f>
        <v/>
      </c>
      <c r="CW20" s="55" t="n"/>
    </row>
    <row r="21">
      <c r="A21" s="13" t="n">
        <v>19</v>
      </c>
      <c r="B21" s="13" t="inlineStr">
        <is>
          <t>ZC000019</t>
        </is>
      </c>
      <c r="C21" s="13" t="inlineStr">
        <is>
          <t>食品类</t>
        </is>
      </c>
      <c r="D21" s="13" t="inlineStr">
        <is>
          <t>双桥味精</t>
        </is>
      </c>
      <c r="E21" s="13" t="inlineStr">
        <is>
          <t>件</t>
        </is>
      </c>
      <c r="F21" s="6">
        <f>I21+L21+O21+R21+U21+X21+AA21+AD21+AG21+AJ21+AM21+AP21+AS21+AV21+AY21+BB21+BE21+BH21+BK21+BN21+BQ21+BT21+BW21+BZ21+CC21+CF21+CI21+CL21+CO21+CR21+CU21</f>
        <v/>
      </c>
      <c r="G21" s="128">
        <f>H21/F21</f>
        <v/>
      </c>
      <c r="H21" s="6">
        <f>K21+N21+Q21+T21+W21+Z21+AC21+AF21+AI21+AL21+AO21+AR21+AU21+AX21+BA21+BD21+BG21+BJ21+BM21+BP21+BS21+BV21+BY21+CB21+CE21+CH21+CK21+CN21+CQ21+CT21+CW21</f>
        <v/>
      </c>
      <c r="I21" s="55" t="n"/>
      <c r="J21" s="55">
        <f>K21/I21</f>
        <v/>
      </c>
      <c r="K21" s="128" t="n"/>
      <c r="L21" s="56" t="n"/>
      <c r="M21" s="56">
        <f>N21/L21</f>
        <v/>
      </c>
      <c r="N21" s="131" t="n"/>
      <c r="O21" s="55" t="n"/>
      <c r="P21" s="55">
        <f>Q21/O21</f>
        <v/>
      </c>
      <c r="Q21" s="128" t="n"/>
      <c r="R21" s="58" t="n"/>
      <c r="S21" s="58">
        <f>T21/R21</f>
        <v/>
      </c>
      <c r="T21" s="129" t="n"/>
      <c r="U21" s="55" t="n"/>
      <c r="V21" s="55">
        <f>W21/U21</f>
        <v/>
      </c>
      <c r="W21" s="128" t="n"/>
      <c r="X21" s="58" t="n"/>
      <c r="Y21" s="58">
        <f>Z21/X21</f>
        <v/>
      </c>
      <c r="Z21" s="129" t="n"/>
      <c r="AA21" s="55" t="n"/>
      <c r="AB21" s="55">
        <f>AC21/AA21</f>
        <v/>
      </c>
      <c r="AC21" s="128" t="n"/>
      <c r="AD21" s="58" t="n"/>
      <c r="AE21" s="58">
        <f>AF21/AD21</f>
        <v/>
      </c>
      <c r="AF21" s="129" t="n"/>
      <c r="AG21" s="55" t="n"/>
      <c r="AH21" s="55">
        <f>AI21/AG21</f>
        <v/>
      </c>
      <c r="AI21" s="128" t="n"/>
      <c r="AJ21" s="58" t="n"/>
      <c r="AK21" s="58">
        <f>AL21/AJ21</f>
        <v/>
      </c>
      <c r="AL21" s="129" t="n"/>
      <c r="AM21" s="55" t="n"/>
      <c r="AN21" s="55">
        <f>AO21/AM21</f>
        <v/>
      </c>
      <c r="AO21" s="128" t="n"/>
      <c r="AP21" s="58" t="n"/>
      <c r="AQ21" s="58">
        <f>AR21/AP21</f>
        <v/>
      </c>
      <c r="AR21" s="129" t="n"/>
      <c r="AS21" s="55" t="n"/>
      <c r="AT21" s="55">
        <f>AU21/AS21</f>
        <v/>
      </c>
      <c r="AU21" s="128" t="n"/>
      <c r="AV21" s="58" t="n"/>
      <c r="AW21" s="58">
        <f>AX21/AV21</f>
        <v/>
      </c>
      <c r="AX21" s="129" t="n"/>
      <c r="AY21" s="55" t="n"/>
      <c r="AZ21" s="55">
        <f>BA21/AY21</f>
        <v/>
      </c>
      <c r="BA21" s="55" t="n"/>
      <c r="BB21" s="58" t="n"/>
      <c r="BC21" s="58">
        <f>BD21/BB21</f>
        <v/>
      </c>
      <c r="BD21" s="58" t="n"/>
      <c r="BE21" s="55" t="n"/>
      <c r="BF21" s="55">
        <f>BG21/BE21</f>
        <v/>
      </c>
      <c r="BG21" s="128" t="n"/>
      <c r="BH21" s="58" t="n"/>
      <c r="BI21" s="58">
        <f>BJ21/BH21</f>
        <v/>
      </c>
      <c r="BJ21" s="129" t="n"/>
      <c r="BK21" s="56" t="n"/>
      <c r="BL21" s="56">
        <f>BM21/BK21</f>
        <v/>
      </c>
      <c r="BM21" s="131" t="n"/>
      <c r="BN21" s="58" t="n"/>
      <c r="BO21" s="58">
        <f>BP21/BN21</f>
        <v/>
      </c>
      <c r="BP21" s="129" t="n"/>
      <c r="BQ21" s="55" t="n"/>
      <c r="BR21" s="55">
        <f>BS21/BQ21</f>
        <v/>
      </c>
      <c r="BS21" s="128" t="n"/>
      <c r="BT21" s="58" t="n"/>
      <c r="BU21" s="58">
        <f>BV21/BT21</f>
        <v/>
      </c>
      <c r="BV21" s="129" t="n"/>
      <c r="BW21" s="55" t="n"/>
      <c r="BX21" s="55">
        <f>BY21/BW21</f>
        <v/>
      </c>
      <c r="BY21" s="128" t="n"/>
      <c r="BZ21" s="58" t="n"/>
      <c r="CA21" s="58">
        <f>CB21/BZ21</f>
        <v/>
      </c>
      <c r="CB21" s="129" t="n"/>
      <c r="CC21" s="55" t="n"/>
      <c r="CD21" s="55">
        <f>CE21/CC21</f>
        <v/>
      </c>
      <c r="CE21" s="128" t="n"/>
      <c r="CF21" s="58" t="n"/>
      <c r="CG21" s="58">
        <f>CH21/CF21</f>
        <v/>
      </c>
      <c r="CH21" s="129" t="n"/>
      <c r="CI21" s="55" t="n"/>
      <c r="CJ21" s="55">
        <f>CK21/CI21</f>
        <v/>
      </c>
      <c r="CK21" s="128" t="n"/>
      <c r="CL21" s="58" t="n"/>
      <c r="CM21" s="58">
        <f>CN21/CL21</f>
        <v/>
      </c>
      <c r="CN21" s="129" t="n"/>
      <c r="CO21" s="55" t="n"/>
      <c r="CP21" s="55">
        <f>CQ21/CO21</f>
        <v/>
      </c>
      <c r="CQ21" s="128" t="n"/>
      <c r="CR21" s="58" t="n"/>
      <c r="CS21" s="58">
        <f>CT21/CR21</f>
        <v/>
      </c>
      <c r="CT21" s="129" t="n"/>
      <c r="CU21" s="55" t="n"/>
      <c r="CV21" s="55">
        <f>CW21/CU21</f>
        <v/>
      </c>
      <c r="CW21" s="55" t="n"/>
    </row>
    <row r="22">
      <c r="A22" s="13" t="n">
        <v>20</v>
      </c>
      <c r="B22" s="13" t="inlineStr">
        <is>
          <t>ZC000020</t>
        </is>
      </c>
      <c r="C22" s="13" t="inlineStr">
        <is>
          <t>食品类</t>
        </is>
      </c>
      <c r="D22" s="13" t="inlineStr">
        <is>
          <t>折耳根</t>
        </is>
      </c>
      <c r="E22" s="13" t="inlineStr">
        <is>
          <t>斤</t>
        </is>
      </c>
      <c r="F22" s="6">
        <f>I22+L22+O22+R22+U22+X22+AA22+AD22+AG22+AJ22+AM22+AP22+AS22+AV22+AY22+BB22+BE22+BH22+BK22+BN22+BQ22+BT22+BW22+BZ22+CC22+CF22+CI22+CL22+CO22+CR22+CU22</f>
        <v/>
      </c>
      <c r="G22" s="128">
        <f>H22/F22</f>
        <v/>
      </c>
      <c r="H22" s="6">
        <f>K22+N22+Q22+T22+W22+Z22+AC22+AF22+AI22+AL22+AO22+AR22+AU22+AX22+BA22+BD22+BG22+BJ22+BM22+BP22+BS22+BV22+BY22+CB22+CE22+CH22+CK22+CN22+CQ22+CT22+CW22</f>
        <v/>
      </c>
      <c r="I22" s="55" t="n"/>
      <c r="J22" s="55">
        <f>K22/I22</f>
        <v/>
      </c>
      <c r="K22" s="128" t="n"/>
      <c r="L22" s="56" t="n"/>
      <c r="M22" s="56">
        <f>N22/L22</f>
        <v/>
      </c>
      <c r="N22" s="131" t="n"/>
      <c r="O22" s="55" t="n"/>
      <c r="P22" s="132">
        <f>Q22/O22</f>
        <v/>
      </c>
      <c r="Q22" s="128" t="n"/>
      <c r="R22" s="58" t="n"/>
      <c r="S22" s="58">
        <f>T22/R22</f>
        <v/>
      </c>
      <c r="T22" s="129" t="n"/>
      <c r="U22" s="55" t="n"/>
      <c r="V22" s="55">
        <f>W22/U22</f>
        <v/>
      </c>
      <c r="W22" s="128" t="n"/>
      <c r="X22" s="58" t="n"/>
      <c r="Y22" s="58">
        <f>Z22/X22</f>
        <v/>
      </c>
      <c r="Z22" s="129" t="n"/>
      <c r="AA22" s="55" t="n"/>
      <c r="AB22" s="55">
        <f>AC22/AA22</f>
        <v/>
      </c>
      <c r="AC22" s="128" t="n"/>
      <c r="AD22" s="58" t="n"/>
      <c r="AE22" s="58">
        <f>AF22/AD22</f>
        <v/>
      </c>
      <c r="AF22" s="129" t="n"/>
      <c r="AG22" s="55" t="n"/>
      <c r="AH22" s="55">
        <f>AI22/AG22</f>
        <v/>
      </c>
      <c r="AI22" s="128" t="n"/>
      <c r="AJ22" s="58" t="n"/>
      <c r="AK22" s="58">
        <f>AL22/AJ22</f>
        <v/>
      </c>
      <c r="AL22" s="129" t="n"/>
      <c r="AM22" s="55" t="n"/>
      <c r="AN22" s="55">
        <f>AO22/AM22</f>
        <v/>
      </c>
      <c r="AO22" s="128" t="n"/>
      <c r="AP22" s="58" t="n"/>
      <c r="AQ22" s="58">
        <f>AR22/AP22</f>
        <v/>
      </c>
      <c r="AR22" s="129" t="n"/>
      <c r="AS22" s="55" t="n">
        <v>0.4</v>
      </c>
      <c r="AT22" s="55">
        <f>AU22/AS22</f>
        <v/>
      </c>
      <c r="AU22" s="128" t="n">
        <v>4</v>
      </c>
      <c r="AV22" s="58" t="n"/>
      <c r="AW22" s="58">
        <f>AX22/AV22</f>
        <v/>
      </c>
      <c r="AX22" s="129" t="n"/>
      <c r="AY22" s="55" t="n"/>
      <c r="AZ22" s="55">
        <f>BA22/AY22</f>
        <v/>
      </c>
      <c r="BA22" s="55" t="n"/>
      <c r="BB22" s="58" t="n"/>
      <c r="BC22" s="58">
        <f>BD22/BB22</f>
        <v/>
      </c>
      <c r="BD22" s="58" t="n"/>
      <c r="BE22" s="55" t="n"/>
      <c r="BF22" s="55">
        <f>BG22/BE22</f>
        <v/>
      </c>
      <c r="BG22" s="128" t="n"/>
      <c r="BH22" s="58" t="n"/>
      <c r="BI22" s="58">
        <f>BJ22/BH22</f>
        <v/>
      </c>
      <c r="BJ22" s="129" t="n"/>
      <c r="BK22" s="56" t="n"/>
      <c r="BL22" s="56">
        <f>BM22/BK22</f>
        <v/>
      </c>
      <c r="BM22" s="131" t="n"/>
      <c r="BN22" s="58" t="n"/>
      <c r="BO22" s="58">
        <f>BP22/BN22</f>
        <v/>
      </c>
      <c r="BP22" s="129" t="n"/>
      <c r="BQ22" s="55" t="n"/>
      <c r="BR22" s="55">
        <f>BS22/BQ22</f>
        <v/>
      </c>
      <c r="BS22" s="128" t="n"/>
      <c r="BT22" s="58" t="n"/>
      <c r="BU22" s="58">
        <f>BV22/BT22</f>
        <v/>
      </c>
      <c r="BV22" s="129" t="n"/>
      <c r="BW22" s="55" t="n"/>
      <c r="BX22" s="55">
        <f>BY22/BW22</f>
        <v/>
      </c>
      <c r="BY22" s="128" t="n"/>
      <c r="BZ22" s="58" t="n"/>
      <c r="CA22" s="58">
        <f>CB22/BZ22</f>
        <v/>
      </c>
      <c r="CB22" s="129" t="n"/>
      <c r="CC22" s="55" t="n"/>
      <c r="CD22" s="55">
        <f>CE22/CC22</f>
        <v/>
      </c>
      <c r="CE22" s="128" t="n"/>
      <c r="CF22" s="58" t="n"/>
      <c r="CG22" s="58">
        <f>CH22/CF22</f>
        <v/>
      </c>
      <c r="CH22" s="129" t="n"/>
      <c r="CI22" s="55" t="n"/>
      <c r="CJ22" s="55">
        <f>CK22/CI22</f>
        <v/>
      </c>
      <c r="CK22" s="128" t="n"/>
      <c r="CL22" s="58" t="n"/>
      <c r="CM22" s="58">
        <f>CN22/CL22</f>
        <v/>
      </c>
      <c r="CN22" s="129" t="n"/>
      <c r="CO22" s="55" t="n"/>
      <c r="CP22" s="55">
        <f>CQ22/CO22</f>
        <v/>
      </c>
      <c r="CQ22" s="128" t="n"/>
      <c r="CR22" s="58" t="n"/>
      <c r="CS22" s="58">
        <f>CT22/CR22</f>
        <v/>
      </c>
      <c r="CT22" s="129" t="n"/>
      <c r="CU22" s="55" t="n"/>
      <c r="CV22" s="55">
        <f>CW22/CU22</f>
        <v/>
      </c>
      <c r="CW22" s="55" t="n"/>
    </row>
    <row r="23">
      <c r="A23" s="13" t="n">
        <v>21</v>
      </c>
      <c r="B23" s="13" t="inlineStr">
        <is>
          <t>ZC000021</t>
        </is>
      </c>
      <c r="C23" s="13" t="inlineStr">
        <is>
          <t>食品类</t>
        </is>
      </c>
      <c r="D23" s="13" t="inlineStr">
        <is>
          <t>生抽</t>
        </is>
      </c>
      <c r="E23" s="13" t="inlineStr">
        <is>
          <t>桶</t>
        </is>
      </c>
      <c r="F23" s="6">
        <f>I23+L23+O23+R23+U23+X23+AA23+AD23+AG23+AJ23+AM23+AP23+AS23+AV23+AY23+BB23+BE23+BH23+BK23+BN23+BQ23+BT23+BW23+BZ23+CC23+CF23+CI23+CL23+CO23+CR23+CU23</f>
        <v/>
      </c>
      <c r="G23" s="128">
        <f>H23/F23</f>
        <v/>
      </c>
      <c r="H23" s="6">
        <f>K23+N23+Q23+T23+W23+Z23+AC23+AF23+AI23+AL23+AO23+AR23+AU23+AX23+BA23+BD23+BG23+BJ23+BM23+BP23+BS23+BV23+BY23+CB23+CE23+CH23+CK23+CN23+CQ23+CT23+CW23</f>
        <v/>
      </c>
      <c r="I23" s="55" t="n"/>
      <c r="J23" s="55">
        <f>K23/I23</f>
        <v/>
      </c>
      <c r="K23" s="128" t="n"/>
      <c r="L23" s="56" t="n"/>
      <c r="M23" s="56">
        <f>N23/L23</f>
        <v/>
      </c>
      <c r="N23" s="131" t="n"/>
      <c r="O23" s="55" t="n"/>
      <c r="P23" s="132">
        <f>Q23/O23</f>
        <v/>
      </c>
      <c r="Q23" s="128" t="n"/>
      <c r="R23" s="58" t="n"/>
      <c r="S23" s="58">
        <f>T23/R23</f>
        <v/>
      </c>
      <c r="T23" s="129" t="n"/>
      <c r="U23" s="55" t="n"/>
      <c r="V23" s="55">
        <f>W23/U23</f>
        <v/>
      </c>
      <c r="W23" s="128" t="n"/>
      <c r="X23" s="58" t="n"/>
      <c r="Y23" s="58">
        <f>Z23/X23</f>
        <v/>
      </c>
      <c r="Z23" s="129" t="n"/>
      <c r="AA23" s="55" t="n"/>
      <c r="AB23" s="55">
        <f>AC23/AA23</f>
        <v/>
      </c>
      <c r="AC23" s="128" t="n"/>
      <c r="AD23" s="58" t="n"/>
      <c r="AE23" s="58">
        <f>AF23/AD23</f>
        <v/>
      </c>
      <c r="AF23" s="129" t="n"/>
      <c r="AG23" s="55" t="n"/>
      <c r="AH23" s="55">
        <f>AI23/AG23</f>
        <v/>
      </c>
      <c r="AI23" s="128" t="n"/>
      <c r="AJ23" s="58" t="n"/>
      <c r="AK23" s="58">
        <f>AL23/AJ23</f>
        <v/>
      </c>
      <c r="AL23" s="129" t="n"/>
      <c r="AM23" s="55" t="n"/>
      <c r="AN23" s="55">
        <f>AO23/AM23</f>
        <v/>
      </c>
      <c r="AO23" s="128" t="n"/>
      <c r="AP23" s="58" t="n"/>
      <c r="AQ23" s="58">
        <f>AR23/AP23</f>
        <v/>
      </c>
      <c r="AR23" s="129" t="n"/>
      <c r="AS23" s="55" t="n"/>
      <c r="AT23" s="55">
        <f>AU23/AS23</f>
        <v/>
      </c>
      <c r="AU23" s="128" t="n"/>
      <c r="AV23" s="58" t="n"/>
      <c r="AW23" s="58">
        <f>AX23/AV23</f>
        <v/>
      </c>
      <c r="AX23" s="129" t="n"/>
      <c r="AY23" s="55" t="n"/>
      <c r="AZ23" s="55">
        <f>BA23/AY23</f>
        <v/>
      </c>
      <c r="BA23" s="55" t="n"/>
      <c r="BB23" s="58" t="n"/>
      <c r="BC23" s="58">
        <f>BD23/BB23</f>
        <v/>
      </c>
      <c r="BD23" s="58" t="n"/>
      <c r="BE23" s="55" t="n"/>
      <c r="BF23" s="55">
        <f>BG23/BE23</f>
        <v/>
      </c>
      <c r="BG23" s="128" t="n"/>
      <c r="BH23" s="58" t="n"/>
      <c r="BI23" s="58">
        <f>BJ23/BH23</f>
        <v/>
      </c>
      <c r="BJ23" s="129" t="n"/>
      <c r="BK23" s="56" t="n"/>
      <c r="BL23" s="56">
        <f>BM23/BK23</f>
        <v/>
      </c>
      <c r="BM23" s="131" t="n"/>
      <c r="BN23" s="58" t="n"/>
      <c r="BO23" s="58">
        <f>BP23/BN23</f>
        <v/>
      </c>
      <c r="BP23" s="129" t="n"/>
      <c r="BQ23" s="55" t="n"/>
      <c r="BR23" s="55">
        <f>BS23/BQ23</f>
        <v/>
      </c>
      <c r="BS23" s="128" t="n"/>
      <c r="BT23" s="58" t="n"/>
      <c r="BU23" s="58">
        <f>BV23/BT23</f>
        <v/>
      </c>
      <c r="BV23" s="129" t="n"/>
      <c r="BW23" s="55" t="n"/>
      <c r="BX23" s="55">
        <f>BY23/BW23</f>
        <v/>
      </c>
      <c r="BY23" s="128" t="n"/>
      <c r="BZ23" s="58" t="n"/>
      <c r="CA23" s="58">
        <f>CB23/BZ23</f>
        <v/>
      </c>
      <c r="CB23" s="129" t="n"/>
      <c r="CC23" s="55" t="n"/>
      <c r="CD23" s="55">
        <f>CE23/CC23</f>
        <v/>
      </c>
      <c r="CE23" s="128" t="n"/>
      <c r="CF23" s="58" t="n"/>
      <c r="CG23" s="58">
        <f>CH23/CF23</f>
        <v/>
      </c>
      <c r="CH23" s="129" t="n"/>
      <c r="CI23" s="55" t="n"/>
      <c r="CJ23" s="55">
        <f>CK23/CI23</f>
        <v/>
      </c>
      <c r="CK23" s="128" t="n"/>
      <c r="CL23" s="58" t="n"/>
      <c r="CM23" s="58">
        <f>CN23/CL23</f>
        <v/>
      </c>
      <c r="CN23" s="129" t="n"/>
      <c r="CO23" s="55" t="n"/>
      <c r="CP23" s="55">
        <f>CQ23/CO23</f>
        <v/>
      </c>
      <c r="CQ23" s="128" t="n"/>
      <c r="CR23" s="58" t="n"/>
      <c r="CS23" s="58">
        <f>CT23/CR23</f>
        <v/>
      </c>
      <c r="CT23" s="129" t="n"/>
      <c r="CU23" s="55" t="n"/>
      <c r="CV23" s="55">
        <f>CW23/CU23</f>
        <v/>
      </c>
      <c r="CW23" s="55" t="n"/>
    </row>
    <row r="24">
      <c r="A24" s="13" t="n">
        <v>22</v>
      </c>
      <c r="B24" s="13" t="inlineStr">
        <is>
          <t>ZC000022</t>
        </is>
      </c>
      <c r="C24" s="13" t="inlineStr">
        <is>
          <t>食品类</t>
        </is>
      </c>
      <c r="D24" s="13" t="inlineStr">
        <is>
          <t>佬米酒</t>
        </is>
      </c>
      <c r="E24" s="13" t="inlineStr">
        <is>
          <t>瓶</t>
        </is>
      </c>
      <c r="F24" s="6">
        <f>I24+L24+O24+R24+U24+X24+AA24+AD24+AG24+AJ24+AM24+AP24+AS24+AV24+AY24+BB24+BE24+BH24+BK24+BN24+BQ24+BT24+BW24+BZ24+CC24+CF24+CI24+CL24+CO24+CR24+CU24</f>
        <v/>
      </c>
      <c r="G24" s="128">
        <f>H24/F24</f>
        <v/>
      </c>
      <c r="H24" s="6">
        <f>K24+N24+Q24+T24+W24+Z24+AC24+AF24+AI24+AL24+AO24+AR24+AU24+AX24+BA24+BD24+BG24+BJ24+BM24+BP24+BS24+BV24+BY24+CB24+CE24+CH24+CK24+CN24+CQ24+CT24+CW24</f>
        <v/>
      </c>
      <c r="I24" s="55" t="n"/>
      <c r="J24" s="55">
        <f>K24/I24</f>
        <v/>
      </c>
      <c r="K24" s="128" t="n"/>
      <c r="L24" s="56" t="n"/>
      <c r="M24" s="56">
        <f>N24/L24</f>
        <v/>
      </c>
      <c r="N24" s="131" t="n"/>
      <c r="O24" s="55" t="n"/>
      <c r="P24" s="55">
        <f>Q24/O24</f>
        <v/>
      </c>
      <c r="Q24" s="128" t="n"/>
      <c r="R24" s="58" t="n"/>
      <c r="S24" s="58">
        <f>T24/R24</f>
        <v/>
      </c>
      <c r="T24" s="129" t="n"/>
      <c r="U24" s="55" t="n"/>
      <c r="V24" s="55">
        <f>W24/U24</f>
        <v/>
      </c>
      <c r="W24" s="128" t="n"/>
      <c r="X24" s="58" t="n"/>
      <c r="Y24" s="58">
        <f>Z24/X24</f>
        <v/>
      </c>
      <c r="Z24" s="129" t="n"/>
      <c r="AA24" s="55" t="n"/>
      <c r="AB24" s="55">
        <f>AC24/AA24</f>
        <v/>
      </c>
      <c r="AC24" s="128" t="n"/>
      <c r="AD24" s="58" t="n"/>
      <c r="AE24" s="58">
        <f>AF24/AD24</f>
        <v/>
      </c>
      <c r="AF24" s="129" t="n"/>
      <c r="AG24" s="55" t="n"/>
      <c r="AH24" s="55">
        <f>AI24/AG24</f>
        <v/>
      </c>
      <c r="AI24" s="128" t="n"/>
      <c r="AJ24" s="58" t="n"/>
      <c r="AK24" s="58">
        <f>AL24/AJ24</f>
        <v/>
      </c>
      <c r="AL24" s="129" t="n"/>
      <c r="AM24" s="55" t="n"/>
      <c r="AN24" s="55">
        <f>AO24/AM24</f>
        <v/>
      </c>
      <c r="AO24" s="128" t="n"/>
      <c r="AP24" s="58" t="n"/>
      <c r="AQ24" s="58">
        <f>AR24/AP24</f>
        <v/>
      </c>
      <c r="AR24" s="129" t="n"/>
      <c r="AS24" s="55" t="n"/>
      <c r="AT24" s="55">
        <f>AU24/AS24</f>
        <v/>
      </c>
      <c r="AU24" s="128" t="n"/>
      <c r="AV24" s="58" t="n"/>
      <c r="AW24" s="58">
        <f>AX24/AV24</f>
        <v/>
      </c>
      <c r="AX24" s="129" t="n"/>
      <c r="AY24" s="55" t="n"/>
      <c r="AZ24" s="55">
        <f>BA24/AY24</f>
        <v/>
      </c>
      <c r="BA24" s="55" t="n"/>
      <c r="BB24" s="58" t="n"/>
      <c r="BC24" s="58">
        <f>BD24/BB24</f>
        <v/>
      </c>
      <c r="BD24" s="58" t="n"/>
      <c r="BE24" s="55" t="n"/>
      <c r="BF24" s="55">
        <f>BG24/BE24</f>
        <v/>
      </c>
      <c r="BG24" s="128" t="n"/>
      <c r="BH24" s="58" t="n"/>
      <c r="BI24" s="58">
        <f>BJ24/BH24</f>
        <v/>
      </c>
      <c r="BJ24" s="129" t="n"/>
      <c r="BK24" s="56" t="n"/>
      <c r="BL24" s="56">
        <f>BM24/BK24</f>
        <v/>
      </c>
      <c r="BM24" s="131" t="n"/>
      <c r="BN24" s="58" t="n"/>
      <c r="BO24" s="58">
        <f>BP24/BN24</f>
        <v/>
      </c>
      <c r="BP24" s="129" t="n"/>
      <c r="BQ24" s="55" t="n"/>
      <c r="BR24" s="55">
        <f>BS24/BQ24</f>
        <v/>
      </c>
      <c r="BS24" s="128" t="n"/>
      <c r="BT24" s="58" t="n"/>
      <c r="BU24" s="58">
        <f>BV24/BT24</f>
        <v/>
      </c>
      <c r="BV24" s="129" t="n"/>
      <c r="BW24" s="55" t="n"/>
      <c r="BX24" s="55">
        <f>BY24/BW24</f>
        <v/>
      </c>
      <c r="BY24" s="128" t="n"/>
      <c r="BZ24" s="58" t="n"/>
      <c r="CA24" s="58">
        <f>CB24/BZ24</f>
        <v/>
      </c>
      <c r="CB24" s="129" t="n"/>
      <c r="CC24" s="55" t="n"/>
      <c r="CD24" s="55">
        <f>CE24/CC24</f>
        <v/>
      </c>
      <c r="CE24" s="128" t="n"/>
      <c r="CF24" s="58" t="n"/>
      <c r="CG24" s="58">
        <f>CH24/CF24</f>
        <v/>
      </c>
      <c r="CH24" s="129" t="n"/>
      <c r="CI24" s="55" t="n"/>
      <c r="CJ24" s="55">
        <f>CK24/CI24</f>
        <v/>
      </c>
      <c r="CK24" s="128" t="n"/>
      <c r="CL24" s="58" t="n"/>
      <c r="CM24" s="58">
        <f>CN24/CL24</f>
        <v/>
      </c>
      <c r="CN24" s="129" t="n"/>
      <c r="CO24" s="55" t="n"/>
      <c r="CP24" s="55">
        <f>CQ24/CO24</f>
        <v/>
      </c>
      <c r="CQ24" s="128" t="n"/>
      <c r="CR24" s="58" t="n"/>
      <c r="CS24" s="58">
        <f>CT24/CR24</f>
        <v/>
      </c>
      <c r="CT24" s="129" t="n"/>
      <c r="CU24" s="55" t="n"/>
      <c r="CV24" s="55">
        <f>CW24/CU24</f>
        <v/>
      </c>
      <c r="CW24" s="55" t="n"/>
    </row>
    <row r="25">
      <c r="A25" s="13" t="n">
        <v>23</v>
      </c>
      <c r="B25" s="13" t="inlineStr">
        <is>
          <t>ZC000023</t>
        </is>
      </c>
      <c r="C25" s="13" t="inlineStr">
        <is>
          <t>食品类</t>
        </is>
      </c>
      <c r="D25" s="13" t="inlineStr">
        <is>
          <t>黄金豆</t>
        </is>
      </c>
      <c r="E25" s="13" t="inlineStr">
        <is>
          <t>包</t>
        </is>
      </c>
      <c r="F25" s="6">
        <f>I25+L25+O25+R25+U25+X25+AA25+AD25+AG25+AJ25+AM25+AP25+AS25+AV25+AY25+BB25+BE25+BH25+BK25+BN25+BQ25+BT25+BW25+BZ25+CC25+CF25+CI25+CL25+CO25+CR25+CU25</f>
        <v/>
      </c>
      <c r="G25" s="128">
        <f>H25/F25</f>
        <v/>
      </c>
      <c r="H25" s="6">
        <f>K25+N25+Q25+T25+W25+Z25+AC25+AF25+AI25+AL25+AO25+AR25+AU25+AX25+BA25+BD25+BG25+BJ25+BM25+BP25+BS25+BV25+BY25+CB25+CE25+CH25+CK25+CN25+CQ25+CT25+CW25</f>
        <v/>
      </c>
      <c r="I25" s="55" t="n"/>
      <c r="J25" s="55">
        <f>K25/I25</f>
        <v/>
      </c>
      <c r="K25" s="128" t="n"/>
      <c r="L25" s="56" t="n"/>
      <c r="M25" s="56">
        <f>N25/L25</f>
        <v/>
      </c>
      <c r="N25" s="131" t="n"/>
      <c r="O25" s="55" t="n"/>
      <c r="P25" s="55">
        <f>Q25/O25</f>
        <v/>
      </c>
      <c r="Q25" s="128" t="n"/>
      <c r="R25" s="58" t="n"/>
      <c r="S25" s="58">
        <f>T25/R25</f>
        <v/>
      </c>
      <c r="T25" s="129" t="n"/>
      <c r="U25" s="55" t="n"/>
      <c r="V25" s="55">
        <f>W25/U25</f>
        <v/>
      </c>
      <c r="W25" s="128" t="n"/>
      <c r="X25" s="58" t="n"/>
      <c r="Y25" s="58">
        <f>Z25/X25</f>
        <v/>
      </c>
      <c r="Z25" s="129" t="n"/>
      <c r="AA25" s="55" t="n"/>
      <c r="AB25" s="55">
        <f>AC25/AA25</f>
        <v/>
      </c>
      <c r="AC25" s="128" t="n"/>
      <c r="AD25" s="58" t="n"/>
      <c r="AE25" s="58">
        <f>AF25/AD25</f>
        <v/>
      </c>
      <c r="AF25" s="129" t="n"/>
      <c r="AG25" s="55" t="n"/>
      <c r="AH25" s="55">
        <f>AI25/AG25</f>
        <v/>
      </c>
      <c r="AI25" s="128" t="n"/>
      <c r="AJ25" s="58" t="n"/>
      <c r="AK25" s="58">
        <f>AL25/AJ25</f>
        <v/>
      </c>
      <c r="AL25" s="129" t="n"/>
      <c r="AM25" s="55" t="n"/>
      <c r="AN25" s="55">
        <f>AO25/AM25</f>
        <v/>
      </c>
      <c r="AO25" s="128" t="n"/>
      <c r="AP25" s="58" t="n"/>
      <c r="AQ25" s="58">
        <f>AR25/AP25</f>
        <v/>
      </c>
      <c r="AR25" s="129" t="n"/>
      <c r="AS25" s="55" t="n"/>
      <c r="AT25" s="55">
        <f>AU25/AS25</f>
        <v/>
      </c>
      <c r="AU25" s="128" t="n"/>
      <c r="AV25" s="58" t="n"/>
      <c r="AW25" s="58">
        <f>AX25/AV25</f>
        <v/>
      </c>
      <c r="AX25" s="129" t="n"/>
      <c r="AY25" s="55" t="n"/>
      <c r="AZ25" s="55">
        <f>BA25/AY25</f>
        <v/>
      </c>
      <c r="BA25" s="55" t="n"/>
      <c r="BB25" s="58" t="n"/>
      <c r="BC25" s="58">
        <f>BD25/BB25</f>
        <v/>
      </c>
      <c r="BD25" s="58" t="n"/>
      <c r="BE25" s="55" t="n"/>
      <c r="BF25" s="55">
        <f>BG25/BE25</f>
        <v/>
      </c>
      <c r="BG25" s="128" t="n"/>
      <c r="BH25" s="58" t="n"/>
      <c r="BI25" s="58">
        <f>BJ25/BH25</f>
        <v/>
      </c>
      <c r="BJ25" s="129" t="n"/>
      <c r="BK25" s="56" t="n"/>
      <c r="BL25" s="56">
        <f>BM25/BK25</f>
        <v/>
      </c>
      <c r="BM25" s="131" t="n"/>
      <c r="BN25" s="58" t="n"/>
      <c r="BO25" s="58">
        <f>BP25/BN25</f>
        <v/>
      </c>
      <c r="BP25" s="129" t="n"/>
      <c r="BQ25" s="55" t="n"/>
      <c r="BR25" s="55">
        <f>BS25/BQ25</f>
        <v/>
      </c>
      <c r="BS25" s="128" t="n"/>
      <c r="BT25" s="58" t="n"/>
      <c r="BU25" s="58">
        <f>BV25/BT25</f>
        <v/>
      </c>
      <c r="BV25" s="129" t="n"/>
      <c r="BW25" s="55" t="n"/>
      <c r="BX25" s="55">
        <f>BY25/BW25</f>
        <v/>
      </c>
      <c r="BY25" s="128" t="n"/>
      <c r="BZ25" s="58" t="n"/>
      <c r="CA25" s="58">
        <f>CB25/BZ25</f>
        <v/>
      </c>
      <c r="CB25" s="129" t="n"/>
      <c r="CC25" s="55" t="n"/>
      <c r="CD25" s="55">
        <f>CE25/CC25</f>
        <v/>
      </c>
      <c r="CE25" s="128" t="n"/>
      <c r="CF25" s="58" t="n"/>
      <c r="CG25" s="58">
        <f>CH25/CF25</f>
        <v/>
      </c>
      <c r="CH25" s="129" t="n"/>
      <c r="CI25" s="55" t="n"/>
      <c r="CJ25" s="55">
        <f>CK25/CI25</f>
        <v/>
      </c>
      <c r="CK25" s="128" t="n"/>
      <c r="CL25" s="58" t="n"/>
      <c r="CM25" s="58">
        <f>CN25/CL25</f>
        <v/>
      </c>
      <c r="CN25" s="129" t="n"/>
      <c r="CO25" s="55" t="n"/>
      <c r="CP25" s="55">
        <f>CQ25/CO25</f>
        <v/>
      </c>
      <c r="CQ25" s="128" t="n"/>
      <c r="CR25" s="58" t="n"/>
      <c r="CS25" s="58">
        <f>CT25/CR25</f>
        <v/>
      </c>
      <c r="CT25" s="129" t="n"/>
      <c r="CU25" s="55" t="n"/>
      <c r="CV25" s="55">
        <f>CW25/CU25</f>
        <v/>
      </c>
      <c r="CW25" s="55" t="n"/>
    </row>
    <row r="26">
      <c r="A26" s="13" t="n">
        <v>24</v>
      </c>
      <c r="B26" s="13" t="inlineStr">
        <is>
          <t>ZC000024</t>
        </is>
      </c>
      <c r="C26" s="13" t="inlineStr">
        <is>
          <t>食品类</t>
        </is>
      </c>
      <c r="D26" s="13" t="inlineStr">
        <is>
          <t>思念小汤圆</t>
        </is>
      </c>
      <c r="E26" s="13" t="inlineStr">
        <is>
          <t>包</t>
        </is>
      </c>
      <c r="F26" s="6">
        <f>I26+L26+O26+R26+U26+X26+AA26+AD26+AG26+AJ26+AM26+AP26+AS26+AV26+AY26+BB26+BE26+BH26+BK26+BN26+BQ26+BT26+BW26+BZ26+CC26+CF26+CI26+CL26+CO26+CR26+CU26</f>
        <v/>
      </c>
      <c r="G26" s="128">
        <f>H26/F26</f>
        <v/>
      </c>
      <c r="H26" s="6">
        <f>K26+N26+Q26+T26+W26+Z26+AC26+AF26+AI26+AL26+AO26+AR26+AU26+AX26+BA26+BD26+BG26+BJ26+BM26+BP26+BS26+BV26+BY26+CB26+CE26+CH26+CK26+CN26+CQ26+CT26+CW26</f>
        <v/>
      </c>
      <c r="I26" s="55" t="n"/>
      <c r="J26" s="55">
        <f>K26/I26</f>
        <v/>
      </c>
      <c r="K26" s="128" t="n"/>
      <c r="L26" s="56" t="n"/>
      <c r="M26" s="56">
        <f>N26/L26</f>
        <v/>
      </c>
      <c r="N26" s="131" t="n"/>
      <c r="O26" s="55" t="n"/>
      <c r="P26" s="55">
        <f>Q26/O26</f>
        <v/>
      </c>
      <c r="Q26" s="128" t="n"/>
      <c r="R26" s="58" t="n"/>
      <c r="S26" s="58">
        <f>T26/R26</f>
        <v/>
      </c>
      <c r="T26" s="129" t="n"/>
      <c r="U26" s="55" t="n"/>
      <c r="V26" s="55">
        <f>W26/U26</f>
        <v/>
      </c>
      <c r="W26" s="128" t="n"/>
      <c r="X26" s="58" t="n"/>
      <c r="Y26" s="58">
        <f>Z26/X26</f>
        <v/>
      </c>
      <c r="Z26" s="129" t="n"/>
      <c r="AA26" s="55" t="n"/>
      <c r="AB26" s="55">
        <f>AC26/AA26</f>
        <v/>
      </c>
      <c r="AC26" s="128" t="n"/>
      <c r="AD26" s="58" t="n"/>
      <c r="AE26" s="58">
        <f>AF26/AD26</f>
        <v/>
      </c>
      <c r="AF26" s="129" t="n"/>
      <c r="AG26" s="55" t="n"/>
      <c r="AH26" s="55">
        <f>AI26/AG26</f>
        <v/>
      </c>
      <c r="AI26" s="128" t="n"/>
      <c r="AJ26" s="58" t="n"/>
      <c r="AK26" s="58">
        <f>AL26/AJ26</f>
        <v/>
      </c>
      <c r="AL26" s="129" t="n"/>
      <c r="AM26" s="55" t="n"/>
      <c r="AN26" s="55">
        <f>AO26/AM26</f>
        <v/>
      </c>
      <c r="AO26" s="128" t="n"/>
      <c r="AP26" s="58" t="n"/>
      <c r="AQ26" s="58">
        <f>AR26/AP26</f>
        <v/>
      </c>
      <c r="AR26" s="129" t="n"/>
      <c r="AS26" s="55" t="n"/>
      <c r="AT26" s="55">
        <f>AU26/AS26</f>
        <v/>
      </c>
      <c r="AU26" s="128" t="n"/>
      <c r="AV26" s="58" t="n"/>
      <c r="AW26" s="58">
        <f>AX26/AV26</f>
        <v/>
      </c>
      <c r="AX26" s="129" t="n"/>
      <c r="AY26" s="55" t="n"/>
      <c r="AZ26" s="55">
        <f>BA26/AY26</f>
        <v/>
      </c>
      <c r="BA26" s="55" t="n"/>
      <c r="BB26" s="58" t="n"/>
      <c r="BC26" s="58">
        <f>BD26/BB26</f>
        <v/>
      </c>
      <c r="BD26" s="58" t="n"/>
      <c r="BE26" s="55" t="n"/>
      <c r="BF26" s="55">
        <f>BG26/BE26</f>
        <v/>
      </c>
      <c r="BG26" s="128" t="n"/>
      <c r="BH26" s="58" t="n"/>
      <c r="BI26" s="58">
        <f>BJ26/BH26</f>
        <v/>
      </c>
      <c r="BJ26" s="129" t="n"/>
      <c r="BK26" s="56" t="n"/>
      <c r="BL26" s="56">
        <f>BM26/BK26</f>
        <v/>
      </c>
      <c r="BM26" s="131" t="n"/>
      <c r="BN26" s="58" t="n"/>
      <c r="BO26" s="58">
        <f>BP26/BN26</f>
        <v/>
      </c>
      <c r="BP26" s="129" t="n"/>
      <c r="BQ26" s="55" t="n"/>
      <c r="BR26" s="55">
        <f>BS26/BQ26</f>
        <v/>
      </c>
      <c r="BS26" s="128" t="n"/>
      <c r="BT26" s="58" t="n"/>
      <c r="BU26" s="58">
        <f>BV26/BT26</f>
        <v/>
      </c>
      <c r="BV26" s="129" t="n"/>
      <c r="BW26" s="55" t="n"/>
      <c r="BX26" s="55">
        <f>BY26/BW26</f>
        <v/>
      </c>
      <c r="BY26" s="128" t="n"/>
      <c r="BZ26" s="58" t="n"/>
      <c r="CA26" s="58">
        <f>CB26/BZ26</f>
        <v/>
      </c>
      <c r="CB26" s="129" t="n"/>
      <c r="CC26" s="55" t="n"/>
      <c r="CD26" s="55">
        <f>CE26/CC26</f>
        <v/>
      </c>
      <c r="CE26" s="128" t="n"/>
      <c r="CF26" s="58" t="n"/>
      <c r="CG26" s="58">
        <f>CH26/CF26</f>
        <v/>
      </c>
      <c r="CH26" s="129" t="n"/>
      <c r="CI26" s="55" t="n"/>
      <c r="CJ26" s="55">
        <f>CK26/CI26</f>
        <v/>
      </c>
      <c r="CK26" s="128" t="n"/>
      <c r="CL26" s="58" t="n"/>
      <c r="CM26" s="58">
        <f>CN26/CL26</f>
        <v/>
      </c>
      <c r="CN26" s="129" t="n"/>
      <c r="CO26" s="55" t="n"/>
      <c r="CP26" s="55">
        <f>CQ26/CO26</f>
        <v/>
      </c>
      <c r="CQ26" s="128" t="n"/>
      <c r="CR26" s="58" t="n"/>
      <c r="CS26" s="58">
        <f>CT26/CR26</f>
        <v/>
      </c>
      <c r="CT26" s="129" t="n"/>
      <c r="CU26" s="55" t="n"/>
      <c r="CV26" s="55">
        <f>CW26/CU26</f>
        <v/>
      </c>
      <c r="CW26" s="55" t="n"/>
    </row>
    <row r="27">
      <c r="A27" s="13" t="n">
        <v>25</v>
      </c>
      <c r="B27" s="13" t="inlineStr">
        <is>
          <t>YH000001</t>
        </is>
      </c>
      <c r="C27" s="13" t="inlineStr">
        <is>
          <t>易耗品</t>
        </is>
      </c>
      <c r="D27" s="13" t="inlineStr">
        <is>
          <t>密胺洗洁精</t>
        </is>
      </c>
      <c r="E27" s="13" t="inlineStr">
        <is>
          <t>袋</t>
        </is>
      </c>
      <c r="F27" s="6">
        <f>I27+L27+O27+R27+U27+X27+AA27+AD27+AG27+AJ27+AM27+AP27+AS27+AV27+AY27+BB27+BE27+BH27+BK27+BN27+BQ27+BT27+BW27+BZ27+CC27+CF27+CI27+CL27+CO27+CR27+CU27</f>
        <v/>
      </c>
      <c r="G27" s="128">
        <f>H27/F27</f>
        <v/>
      </c>
      <c r="H27" s="6">
        <f>K27+N27+Q27+T27+W27+Z27+AC27+AF27+AI27+AL27+AO27+AR27+AU27+AX27+BA27+BD27+BG27+BJ27+BM27+BP27+BS27+BV27+BY27+CB27+CE27+CH27+CK27+CN27+CQ27+CT27+CW27</f>
        <v/>
      </c>
      <c r="I27" s="55" t="n"/>
      <c r="J27" s="55">
        <f>K27/I27</f>
        <v/>
      </c>
      <c r="K27" s="128" t="n"/>
      <c r="L27" s="56" t="n"/>
      <c r="M27" s="56">
        <f>N27/L27</f>
        <v/>
      </c>
      <c r="N27" s="131" t="n"/>
      <c r="O27" s="55" t="n"/>
      <c r="P27" s="55">
        <f>Q27/O27</f>
        <v/>
      </c>
      <c r="Q27" s="128" t="n"/>
      <c r="R27" s="58" t="n"/>
      <c r="S27" s="58">
        <f>T27/R27</f>
        <v/>
      </c>
      <c r="T27" s="129" t="n"/>
      <c r="U27" s="55" t="n"/>
      <c r="V27" s="55">
        <f>W27/U27</f>
        <v/>
      </c>
      <c r="W27" s="128" t="n"/>
      <c r="X27" s="58" t="n"/>
      <c r="Y27" s="58">
        <f>Z27/X27</f>
        <v/>
      </c>
      <c r="Z27" s="129" t="n"/>
      <c r="AA27" s="55" t="n"/>
      <c r="AB27" s="55">
        <f>AC27/AA27</f>
        <v/>
      </c>
      <c r="AC27" s="128" t="n"/>
      <c r="AD27" s="58" t="n"/>
      <c r="AE27" s="58">
        <f>AF27/AD27</f>
        <v/>
      </c>
      <c r="AF27" s="129" t="n"/>
      <c r="AG27" s="55" t="n"/>
      <c r="AH27" s="55">
        <f>AI27/AG27</f>
        <v/>
      </c>
      <c r="AI27" s="128" t="n"/>
      <c r="AJ27" s="58" t="n"/>
      <c r="AK27" s="58">
        <f>AL27/AJ27</f>
        <v/>
      </c>
      <c r="AL27" s="129" t="n"/>
      <c r="AM27" s="55" t="n"/>
      <c r="AN27" s="55">
        <f>AO27/AM27</f>
        <v/>
      </c>
      <c r="AO27" s="128" t="n"/>
      <c r="AP27" s="58" t="n"/>
      <c r="AQ27" s="58">
        <f>AR27/AP27</f>
        <v/>
      </c>
      <c r="AR27" s="129" t="n"/>
      <c r="AS27" s="55" t="n"/>
      <c r="AT27" s="55">
        <f>AU27/AS27</f>
        <v/>
      </c>
      <c r="AU27" s="128" t="n"/>
      <c r="AV27" s="58" t="n"/>
      <c r="AW27" s="58">
        <f>AX27/AV27</f>
        <v/>
      </c>
      <c r="AX27" s="129" t="n"/>
      <c r="AY27" s="55" t="n"/>
      <c r="AZ27" s="55">
        <f>BA27/AY27</f>
        <v/>
      </c>
      <c r="BA27" s="55" t="n"/>
      <c r="BB27" s="58" t="n"/>
      <c r="BC27" s="58">
        <f>BD27/BB27</f>
        <v/>
      </c>
      <c r="BD27" s="58" t="n"/>
      <c r="BE27" s="55" t="n"/>
      <c r="BF27" s="55">
        <f>BG27/BE27</f>
        <v/>
      </c>
      <c r="BG27" s="128" t="n"/>
      <c r="BH27" s="58" t="n"/>
      <c r="BI27" s="58">
        <f>BJ27/BH27</f>
        <v/>
      </c>
      <c r="BJ27" s="129" t="n"/>
      <c r="BK27" s="56" t="n"/>
      <c r="BL27" s="56">
        <f>BM27/BK27</f>
        <v/>
      </c>
      <c r="BM27" s="131" t="n"/>
      <c r="BN27" s="58" t="n"/>
      <c r="BO27" s="58">
        <f>BP27/BN27</f>
        <v/>
      </c>
      <c r="BP27" s="129" t="n"/>
      <c r="BQ27" s="55" t="n"/>
      <c r="BR27" s="55">
        <f>BS27/BQ27</f>
        <v/>
      </c>
      <c r="BS27" s="128" t="n"/>
      <c r="BT27" s="58" t="n"/>
      <c r="BU27" s="58">
        <f>BV27/BT27</f>
        <v/>
      </c>
      <c r="BV27" s="129" t="n"/>
      <c r="BW27" s="55" t="n"/>
      <c r="BX27" s="55">
        <f>BY27/BW27</f>
        <v/>
      </c>
      <c r="BY27" s="128" t="n"/>
      <c r="BZ27" s="58" t="n"/>
      <c r="CA27" s="58">
        <f>CB27/BZ27</f>
        <v/>
      </c>
      <c r="CB27" s="129" t="n"/>
      <c r="CC27" s="55" t="n"/>
      <c r="CD27" s="55">
        <f>CE27/CC27</f>
        <v/>
      </c>
      <c r="CE27" s="128" t="n"/>
      <c r="CF27" s="58" t="n"/>
      <c r="CG27" s="58">
        <f>CH27/CF27</f>
        <v/>
      </c>
      <c r="CH27" s="129" t="n"/>
      <c r="CI27" s="55" t="n"/>
      <c r="CJ27" s="55">
        <f>CK27/CI27</f>
        <v/>
      </c>
      <c r="CK27" s="128" t="n"/>
      <c r="CL27" s="58" t="n"/>
      <c r="CM27" s="58">
        <f>CN27/CL27</f>
        <v/>
      </c>
      <c r="CN27" s="129" t="n"/>
      <c r="CO27" s="55" t="n"/>
      <c r="CP27" s="55">
        <f>CQ27/CO27</f>
        <v/>
      </c>
      <c r="CQ27" s="128" t="n"/>
      <c r="CR27" s="58" t="n"/>
      <c r="CS27" s="58">
        <f>CT27/CR27</f>
        <v/>
      </c>
      <c r="CT27" s="129" t="n"/>
      <c r="CU27" s="55" t="n"/>
      <c r="CV27" s="55">
        <f>CW27/CU27</f>
        <v/>
      </c>
      <c r="CW27" s="55" t="n"/>
    </row>
    <row r="28">
      <c r="A28" s="13" t="n">
        <v>26</v>
      </c>
      <c r="B28" s="13" t="inlineStr">
        <is>
          <t>YH000002</t>
        </is>
      </c>
      <c r="C28" s="13" t="inlineStr">
        <is>
          <t>易耗品</t>
        </is>
      </c>
      <c r="D28" s="13" t="inlineStr">
        <is>
          <t>大保鲜盒</t>
        </is>
      </c>
      <c r="E28" s="13" t="inlineStr">
        <is>
          <t>只</t>
        </is>
      </c>
      <c r="F28" s="6">
        <f>I28+L28+O28+R28+U28+X28+AA28+AD28+AG28+AJ28+AM28+AP28+AS28+AV28+AY28+BB28+BE28+BH28+BK28+BN28+BQ28+BT28+BW28+BZ28+CC28+CF28+CI28+CL28+CO28+CR28+CU28</f>
        <v/>
      </c>
      <c r="G28" s="128">
        <f>H28/F28</f>
        <v/>
      </c>
      <c r="H28" s="6">
        <f>K28+N28+Q28+T28+W28+Z28+AC28+AF28+AI28+AL28+AO28+AR28+AU28+AX28+BA28+BD28+BG28+BJ28+BM28+BP28+BS28+BV28+BY28+CB28+CE28+CH28+CK28+CN28+CQ28+CT28+CW28</f>
        <v/>
      </c>
      <c r="I28" s="55" t="n"/>
      <c r="J28" s="55">
        <f>K28/I28</f>
        <v/>
      </c>
      <c r="K28" s="128" t="n"/>
      <c r="L28" s="56" t="n"/>
      <c r="M28" s="56">
        <f>N28/L28</f>
        <v/>
      </c>
      <c r="N28" s="131" t="n"/>
      <c r="O28" s="55" t="n"/>
      <c r="P28" s="55">
        <f>Q28/O28</f>
        <v/>
      </c>
      <c r="Q28" s="128" t="n"/>
      <c r="R28" s="58" t="n"/>
      <c r="S28" s="58">
        <f>T28/R28</f>
        <v/>
      </c>
      <c r="T28" s="129" t="n"/>
      <c r="U28" s="55" t="n"/>
      <c r="V28" s="55">
        <f>W28/U28</f>
        <v/>
      </c>
      <c r="W28" s="128" t="n"/>
      <c r="X28" s="58" t="n"/>
      <c r="Y28" s="58">
        <f>Z28/X28</f>
        <v/>
      </c>
      <c r="Z28" s="129" t="n"/>
      <c r="AA28" s="55" t="n"/>
      <c r="AB28" s="55">
        <f>AC28/AA28</f>
        <v/>
      </c>
      <c r="AC28" s="128" t="n"/>
      <c r="AD28" s="58" t="n"/>
      <c r="AE28" s="58">
        <f>AF28/AD28</f>
        <v/>
      </c>
      <c r="AF28" s="129" t="n"/>
      <c r="AG28" s="55" t="n"/>
      <c r="AH28" s="55">
        <f>AI28/AG28</f>
        <v/>
      </c>
      <c r="AI28" s="128" t="n"/>
      <c r="AJ28" s="58" t="n"/>
      <c r="AK28" s="58">
        <f>AL28/AJ28</f>
        <v/>
      </c>
      <c r="AL28" s="129" t="n"/>
      <c r="AM28" s="55" t="n"/>
      <c r="AN28" s="55">
        <f>AO28/AM28</f>
        <v/>
      </c>
      <c r="AO28" s="128" t="n"/>
      <c r="AP28" s="58" t="n"/>
      <c r="AQ28" s="58">
        <f>AR28/AP28</f>
        <v/>
      </c>
      <c r="AR28" s="129" t="n"/>
      <c r="AS28" s="55" t="n"/>
      <c r="AT28" s="55">
        <f>AU28/AS28</f>
        <v/>
      </c>
      <c r="AU28" s="128" t="n"/>
      <c r="AV28" s="58" t="n"/>
      <c r="AW28" s="58">
        <f>AX28/AV28</f>
        <v/>
      </c>
      <c r="AX28" s="129" t="n"/>
      <c r="AY28" s="55" t="n"/>
      <c r="AZ28" s="55">
        <f>BA28/AY28</f>
        <v/>
      </c>
      <c r="BA28" s="55" t="n"/>
      <c r="BB28" s="58" t="n"/>
      <c r="BC28" s="58">
        <f>BD28/BB28</f>
        <v/>
      </c>
      <c r="BD28" s="58" t="n"/>
      <c r="BE28" s="55" t="n"/>
      <c r="BF28" s="55">
        <f>BG28/BE28</f>
        <v/>
      </c>
      <c r="BG28" s="128" t="n"/>
      <c r="BH28" s="58" t="n"/>
      <c r="BI28" s="58">
        <f>BJ28/BH28</f>
        <v/>
      </c>
      <c r="BJ28" s="129" t="n"/>
      <c r="BK28" s="56" t="n"/>
      <c r="BL28" s="56">
        <f>BM28/BK28</f>
        <v/>
      </c>
      <c r="BM28" s="131" t="n"/>
      <c r="BN28" s="58" t="n"/>
      <c r="BO28" s="58">
        <f>BP28/BN28</f>
        <v/>
      </c>
      <c r="BP28" s="129" t="n"/>
      <c r="BQ28" s="55" t="n"/>
      <c r="BR28" s="55">
        <f>BS28/BQ28</f>
        <v/>
      </c>
      <c r="BS28" s="128" t="n"/>
      <c r="BT28" s="58" t="n"/>
      <c r="BU28" s="58">
        <f>BV28/BT28</f>
        <v/>
      </c>
      <c r="BV28" s="129" t="n"/>
      <c r="BW28" s="55" t="n"/>
      <c r="BX28" s="55">
        <f>BY28/BW28</f>
        <v/>
      </c>
      <c r="BY28" s="128" t="n"/>
      <c r="BZ28" s="58" t="n"/>
      <c r="CA28" s="58">
        <f>CB28/BZ28</f>
        <v/>
      </c>
      <c r="CB28" s="129" t="n"/>
      <c r="CC28" s="55" t="n"/>
      <c r="CD28" s="55">
        <f>CE28/CC28</f>
        <v/>
      </c>
      <c r="CE28" s="128" t="n"/>
      <c r="CF28" s="58" t="n"/>
      <c r="CG28" s="58">
        <f>CH28/CF28</f>
        <v/>
      </c>
      <c r="CH28" s="129" t="n"/>
      <c r="CI28" s="55" t="n"/>
      <c r="CJ28" s="55">
        <f>CK28/CI28</f>
        <v/>
      </c>
      <c r="CK28" s="128" t="n"/>
      <c r="CL28" s="58" t="n"/>
      <c r="CM28" s="58">
        <f>CN28/CL28</f>
        <v/>
      </c>
      <c r="CN28" s="129" t="n"/>
      <c r="CO28" s="55" t="n"/>
      <c r="CP28" s="55">
        <f>CQ28/CO28</f>
        <v/>
      </c>
      <c r="CQ28" s="128" t="n"/>
      <c r="CR28" s="58" t="n"/>
      <c r="CS28" s="58">
        <f>CT28/CR28</f>
        <v/>
      </c>
      <c r="CT28" s="129" t="n"/>
      <c r="CU28" s="55" t="n"/>
      <c r="CV28" s="55">
        <f>CW28/CU28</f>
        <v/>
      </c>
      <c r="CW28" s="55" t="n"/>
    </row>
    <row r="29">
      <c r="A29" s="13" t="n">
        <v>27</v>
      </c>
      <c r="B29" s="13" t="inlineStr">
        <is>
          <t>YH000003</t>
        </is>
      </c>
      <c r="C29" s="13" t="inlineStr">
        <is>
          <t>易耗品</t>
        </is>
      </c>
      <c r="D29" s="13" t="inlineStr">
        <is>
          <t>中保鲜盒</t>
        </is>
      </c>
      <c r="E29" s="13" t="inlineStr">
        <is>
          <t>只</t>
        </is>
      </c>
      <c r="F29" s="6">
        <f>I29+L29+O29+R29+U29+X29+AA29+AD29+AG29+AJ29+AM29+AP29+AS29+AV29+AY29+BB29+BE29+BH29+BK29+BN29+BQ29+BT29+BW29+BZ29+CC29+CF29+CI29+CL29+CO29+CR29+CU29</f>
        <v/>
      </c>
      <c r="G29" s="128">
        <f>H29/F29</f>
        <v/>
      </c>
      <c r="H29" s="6">
        <f>K29+N29+Q29+T29+W29+Z29+AC29+AF29+AI29+AL29+AO29+AR29+AU29+AX29+BA29+BD29+BG29+BJ29+BM29+BP29+BS29+BV29+BY29+CB29+CE29+CH29+CK29+CN29+CQ29+CT29+CW29</f>
        <v/>
      </c>
      <c r="I29" s="55" t="n"/>
      <c r="J29" s="55">
        <f>K29/I29</f>
        <v/>
      </c>
      <c r="K29" s="128" t="n"/>
      <c r="L29" s="56" t="n"/>
      <c r="M29" s="56">
        <f>N29/L29</f>
        <v/>
      </c>
      <c r="N29" s="131" t="n"/>
      <c r="O29" s="55" t="n"/>
      <c r="P29" s="55">
        <f>Q29/O29</f>
        <v/>
      </c>
      <c r="Q29" s="128" t="n"/>
      <c r="R29" s="58" t="n"/>
      <c r="S29" s="58">
        <f>T29/R29</f>
        <v/>
      </c>
      <c r="T29" s="129" t="n"/>
      <c r="U29" s="55" t="n"/>
      <c r="V29" s="55">
        <f>W29/U29</f>
        <v/>
      </c>
      <c r="W29" s="128" t="n"/>
      <c r="X29" s="58" t="n"/>
      <c r="Y29" s="58">
        <f>Z29/X29</f>
        <v/>
      </c>
      <c r="Z29" s="129" t="n"/>
      <c r="AA29" s="55" t="n"/>
      <c r="AB29" s="55">
        <f>AC29/AA29</f>
        <v/>
      </c>
      <c r="AC29" s="128" t="n"/>
      <c r="AD29" s="58" t="n"/>
      <c r="AE29" s="58">
        <f>AF29/AD29</f>
        <v/>
      </c>
      <c r="AF29" s="129" t="n"/>
      <c r="AG29" s="55" t="n"/>
      <c r="AH29" s="55">
        <f>AI29/AG29</f>
        <v/>
      </c>
      <c r="AI29" s="128" t="n"/>
      <c r="AJ29" s="58" t="n"/>
      <c r="AK29" s="58">
        <f>AL29/AJ29</f>
        <v/>
      </c>
      <c r="AL29" s="129" t="n"/>
      <c r="AM29" s="55" t="n"/>
      <c r="AN29" s="55">
        <f>AO29/AM29</f>
        <v/>
      </c>
      <c r="AO29" s="128" t="n"/>
      <c r="AP29" s="58" t="n"/>
      <c r="AQ29" s="58">
        <f>AR29/AP29</f>
        <v/>
      </c>
      <c r="AR29" s="129" t="n"/>
      <c r="AS29" s="55" t="n"/>
      <c r="AT29" s="55">
        <f>AU29/AS29</f>
        <v/>
      </c>
      <c r="AU29" s="128" t="n"/>
      <c r="AV29" s="58" t="n"/>
      <c r="AW29" s="58">
        <f>AX29/AV29</f>
        <v/>
      </c>
      <c r="AX29" s="129" t="n"/>
      <c r="AY29" s="55" t="n"/>
      <c r="AZ29" s="55">
        <f>BA29/AY29</f>
        <v/>
      </c>
      <c r="BA29" s="55" t="n"/>
      <c r="BB29" s="58" t="n"/>
      <c r="BC29" s="58">
        <f>BD29/BB29</f>
        <v/>
      </c>
      <c r="BD29" s="58" t="n"/>
      <c r="BE29" s="55" t="n"/>
      <c r="BF29" s="55">
        <f>BG29/BE29</f>
        <v/>
      </c>
      <c r="BG29" s="128" t="n"/>
      <c r="BH29" s="58" t="n"/>
      <c r="BI29" s="58">
        <f>BJ29/BH29</f>
        <v/>
      </c>
      <c r="BJ29" s="129" t="n"/>
      <c r="BK29" s="56" t="n"/>
      <c r="BL29" s="56">
        <f>BM29/BK29</f>
        <v/>
      </c>
      <c r="BM29" s="131" t="n"/>
      <c r="BN29" s="58" t="n"/>
      <c r="BO29" s="58">
        <f>BP29/BN29</f>
        <v/>
      </c>
      <c r="BP29" s="129" t="n"/>
      <c r="BQ29" s="55" t="n"/>
      <c r="BR29" s="55">
        <f>BS29/BQ29</f>
        <v/>
      </c>
      <c r="BS29" s="128" t="n"/>
      <c r="BT29" s="58" t="n"/>
      <c r="BU29" s="58">
        <f>BV29/BT29</f>
        <v/>
      </c>
      <c r="BV29" s="129" t="n"/>
      <c r="BW29" s="55" t="n"/>
      <c r="BX29" s="55">
        <f>BY29/BW29</f>
        <v/>
      </c>
      <c r="BY29" s="128" t="n"/>
      <c r="BZ29" s="58" t="n"/>
      <c r="CA29" s="58">
        <f>CB29/BZ29</f>
        <v/>
      </c>
      <c r="CB29" s="129" t="n"/>
      <c r="CC29" s="55" t="n"/>
      <c r="CD29" s="55">
        <f>CE29/CC29</f>
        <v/>
      </c>
      <c r="CE29" s="128" t="n"/>
      <c r="CF29" s="58" t="n"/>
      <c r="CG29" s="58">
        <f>CH29/CF29</f>
        <v/>
      </c>
      <c r="CH29" s="129" t="n"/>
      <c r="CI29" s="55" t="n"/>
      <c r="CJ29" s="55">
        <f>CK29/CI29</f>
        <v/>
      </c>
      <c r="CK29" s="128" t="n"/>
      <c r="CL29" s="58" t="n"/>
      <c r="CM29" s="58">
        <f>CN29/CL29</f>
        <v/>
      </c>
      <c r="CN29" s="129" t="n"/>
      <c r="CO29" s="55" t="n"/>
      <c r="CP29" s="55">
        <f>CQ29/CO29</f>
        <v/>
      </c>
      <c r="CQ29" s="128" t="n"/>
      <c r="CR29" s="58" t="n"/>
      <c r="CS29" s="58">
        <f>CT29/CR29</f>
        <v/>
      </c>
      <c r="CT29" s="129" t="n"/>
      <c r="CU29" s="55" t="n"/>
      <c r="CV29" s="55">
        <f>CW29/CU29</f>
        <v/>
      </c>
      <c r="CW29" s="55" t="n"/>
    </row>
    <row r="30">
      <c r="A30" s="13" t="n">
        <v>28</v>
      </c>
      <c r="B30" s="13" t="inlineStr">
        <is>
          <t>YH000004</t>
        </is>
      </c>
      <c r="C30" s="13" t="inlineStr">
        <is>
          <t>易耗品</t>
        </is>
      </c>
      <c r="D30" s="13" t="inlineStr">
        <is>
          <t>40内直径钢铜</t>
        </is>
      </c>
      <c r="E30" s="13" t="inlineStr">
        <is>
          <t>只</t>
        </is>
      </c>
      <c r="F30" s="6">
        <f>I30+L30+O30+R30+U30+X30+AA30+AD30+AG30+AJ30+AM30+AP30+AS30+AV30+AY30+BB30+BE30+BH30+BK30+BN30+BQ30+BT30+BW30+BZ30+CC30+CF30+CI30+CL30+CO30+CR30+CU30</f>
        <v/>
      </c>
      <c r="G30" s="128">
        <f>H30/F30</f>
        <v/>
      </c>
      <c r="H30" s="6">
        <f>K30+N30+Q30+T30+W30+Z30+AC30+AF30+AI30+AL30+AO30+AR30+AU30+AX30+BA30+BD30+BG30+BJ30+BM30+BP30+BS30+BV30+BY30+CB30+CE30+CH30+CK30+CN30+CQ30+CT30+CW30</f>
        <v/>
      </c>
      <c r="I30" s="55" t="n"/>
      <c r="J30" s="55">
        <f>K30/I30</f>
        <v/>
      </c>
      <c r="K30" s="128" t="n"/>
      <c r="L30" s="56" t="n"/>
      <c r="M30" s="56">
        <f>N30/L30</f>
        <v/>
      </c>
      <c r="N30" s="131" t="n"/>
      <c r="O30" s="55" t="n"/>
      <c r="P30" s="55">
        <f>Q30/O30</f>
        <v/>
      </c>
      <c r="Q30" s="128" t="n"/>
      <c r="R30" s="58" t="n"/>
      <c r="S30" s="58">
        <f>T30/R30</f>
        <v/>
      </c>
      <c r="T30" s="129" t="n"/>
      <c r="U30" s="55" t="n"/>
      <c r="V30" s="55">
        <f>W30/U30</f>
        <v/>
      </c>
      <c r="W30" s="128" t="n"/>
      <c r="X30" s="58" t="n"/>
      <c r="Y30" s="58">
        <f>Z30/X30</f>
        <v/>
      </c>
      <c r="Z30" s="129" t="n"/>
      <c r="AA30" s="55" t="n"/>
      <c r="AB30" s="55">
        <f>AC30/AA30</f>
        <v/>
      </c>
      <c r="AC30" s="128" t="n"/>
      <c r="AD30" s="58" t="n"/>
      <c r="AE30" s="58">
        <f>AF30/AD30</f>
        <v/>
      </c>
      <c r="AF30" s="129" t="n"/>
      <c r="AG30" s="55" t="n"/>
      <c r="AH30" s="55">
        <f>AI30/AG30</f>
        <v/>
      </c>
      <c r="AI30" s="128" t="n"/>
      <c r="AJ30" s="58" t="n"/>
      <c r="AK30" s="58">
        <f>AL30/AJ30</f>
        <v/>
      </c>
      <c r="AL30" s="129" t="n"/>
      <c r="AM30" s="55" t="n"/>
      <c r="AN30" s="55">
        <f>AO30/AM30</f>
        <v/>
      </c>
      <c r="AO30" s="128" t="n"/>
      <c r="AP30" s="58" t="n"/>
      <c r="AQ30" s="58">
        <f>AR30/AP30</f>
        <v/>
      </c>
      <c r="AR30" s="129" t="n"/>
      <c r="AS30" s="55" t="n"/>
      <c r="AT30" s="55">
        <f>AU30/AS30</f>
        <v/>
      </c>
      <c r="AU30" s="128" t="n"/>
      <c r="AV30" s="58" t="n"/>
      <c r="AW30" s="58">
        <f>AX30/AV30</f>
        <v/>
      </c>
      <c r="AX30" s="129" t="n"/>
      <c r="AY30" s="55" t="n"/>
      <c r="AZ30" s="55">
        <f>BA30/AY30</f>
        <v/>
      </c>
      <c r="BA30" s="55" t="n"/>
      <c r="BB30" s="58" t="n"/>
      <c r="BC30" s="58">
        <f>BD30/BB30</f>
        <v/>
      </c>
      <c r="BD30" s="58" t="n"/>
      <c r="BE30" s="55" t="n"/>
      <c r="BF30" s="55">
        <f>BG30/BE30</f>
        <v/>
      </c>
      <c r="BG30" s="128" t="n"/>
      <c r="BH30" s="58" t="n"/>
      <c r="BI30" s="58">
        <f>BJ30/BH30</f>
        <v/>
      </c>
      <c r="BJ30" s="129" t="n"/>
      <c r="BK30" s="56" t="n"/>
      <c r="BL30" s="56">
        <f>BM30/BK30</f>
        <v/>
      </c>
      <c r="BM30" s="131" t="n"/>
      <c r="BN30" s="58" t="n"/>
      <c r="BO30" s="58">
        <f>BP30/BN30</f>
        <v/>
      </c>
      <c r="BP30" s="129" t="n"/>
      <c r="BQ30" s="55" t="n"/>
      <c r="BR30" s="55">
        <f>BS30/BQ30</f>
        <v/>
      </c>
      <c r="BS30" s="128" t="n"/>
      <c r="BT30" s="58" t="n"/>
      <c r="BU30" s="58">
        <f>BV30/BT30</f>
        <v/>
      </c>
      <c r="BV30" s="129" t="n"/>
      <c r="BW30" s="55" t="n"/>
      <c r="BX30" s="55">
        <f>BY30/BW30</f>
        <v/>
      </c>
      <c r="BY30" s="128" t="n"/>
      <c r="BZ30" s="58" t="n"/>
      <c r="CA30" s="58">
        <f>CB30/BZ30</f>
        <v/>
      </c>
      <c r="CB30" s="129" t="n"/>
      <c r="CC30" s="55" t="n"/>
      <c r="CD30" s="55">
        <f>CE30/CC30</f>
        <v/>
      </c>
      <c r="CE30" s="128" t="n"/>
      <c r="CF30" s="58" t="n"/>
      <c r="CG30" s="58">
        <f>CH30/CF30</f>
        <v/>
      </c>
      <c r="CH30" s="129" t="n"/>
      <c r="CI30" s="55" t="n"/>
      <c r="CJ30" s="55">
        <f>CK30/CI30</f>
        <v/>
      </c>
      <c r="CK30" s="128" t="n"/>
      <c r="CL30" s="58" t="n"/>
      <c r="CM30" s="58">
        <f>CN30/CL30</f>
        <v/>
      </c>
      <c r="CN30" s="129" t="n"/>
      <c r="CO30" s="55" t="n"/>
      <c r="CP30" s="55">
        <f>CQ30/CO30</f>
        <v/>
      </c>
      <c r="CQ30" s="128" t="n"/>
      <c r="CR30" s="58" t="n"/>
      <c r="CS30" s="58">
        <f>CT30/CR30</f>
        <v/>
      </c>
      <c r="CT30" s="129" t="n"/>
      <c r="CU30" s="55" t="n"/>
      <c r="CV30" s="55">
        <f>CW30/CU30</f>
        <v/>
      </c>
      <c r="CW30" s="55" t="n"/>
    </row>
    <row r="31" ht="13" customHeight="1" s="3">
      <c r="A31" s="13" t="n">
        <v>29</v>
      </c>
      <c r="B31" s="13" t="inlineStr">
        <is>
          <t>YH000005</t>
        </is>
      </c>
      <c r="C31" s="13" t="inlineStr">
        <is>
          <t>易耗品</t>
        </is>
      </c>
      <c r="D31" s="13" t="inlineStr">
        <is>
          <t>一次性筷子</t>
        </is>
      </c>
      <c r="E31" s="13" t="inlineStr">
        <is>
          <t>把</t>
        </is>
      </c>
      <c r="F31" s="6">
        <f>I31+L31+O31+R31+U31+X31+AA31+AD31+AG31+AJ31+AM31+AP31+AS31+AV31+AY31+BB31+BE31+BH31+BK31+BN31+BQ31+BT31+BW31+BZ31+CC31+CF31+CI31+CL31+CO31+CR31+CU31</f>
        <v/>
      </c>
      <c r="G31" s="128">
        <f>H31/F31</f>
        <v/>
      </c>
      <c r="H31" s="6">
        <f>K31+N31+Q31+T31+W31+Z31+AC31+AF31+AI31+AL31+AO31+AR31+AU31+AX31+BA31+BD31+BG31+BJ31+BM31+BP31+BS31+BV31+BY31+CB31+CE31+CH31+CK31+CN31+CQ31+CT31+CW31</f>
        <v/>
      </c>
      <c r="I31" s="55" t="n"/>
      <c r="J31" s="55">
        <f>K31/I31</f>
        <v/>
      </c>
      <c r="K31" s="128" t="n"/>
      <c r="L31" s="56" t="n"/>
      <c r="M31" s="56">
        <f>N31/L31</f>
        <v/>
      </c>
      <c r="N31" s="131" t="n"/>
      <c r="O31" s="55" t="n"/>
      <c r="P31" s="55">
        <f>Q31/O31</f>
        <v/>
      </c>
      <c r="Q31" s="128" t="n"/>
      <c r="R31" s="58" t="n"/>
      <c r="S31" s="58">
        <f>T31/R31</f>
        <v/>
      </c>
      <c r="T31" s="129" t="n"/>
      <c r="U31" s="55" t="n"/>
      <c r="V31" s="55">
        <f>W31/U31</f>
        <v/>
      </c>
      <c r="W31" s="128" t="n"/>
      <c r="X31" s="58" t="n"/>
      <c r="Y31" s="58">
        <f>Z31/X31</f>
        <v/>
      </c>
      <c r="Z31" s="129" t="n"/>
      <c r="AA31" s="55" t="n"/>
      <c r="AB31" s="55">
        <f>AC31/AA31</f>
        <v/>
      </c>
      <c r="AC31" s="128" t="n"/>
      <c r="AD31" s="58" t="n"/>
      <c r="AE31" s="58">
        <f>AF31/AD31</f>
        <v/>
      </c>
      <c r="AF31" s="129" t="n"/>
      <c r="AG31" s="55" t="n"/>
      <c r="AH31" s="55">
        <f>AI31/AG31</f>
        <v/>
      </c>
      <c r="AI31" s="128" t="n"/>
      <c r="AJ31" s="58" t="n"/>
      <c r="AK31" s="58">
        <f>AL31/AJ31</f>
        <v/>
      </c>
      <c r="AL31" s="129" t="n"/>
      <c r="AM31" s="55" t="n"/>
      <c r="AN31" s="55">
        <f>AO31/AM31</f>
        <v/>
      </c>
      <c r="AO31" s="128" t="n"/>
      <c r="AP31" s="58" t="n"/>
      <c r="AQ31" s="58">
        <f>AR31/AP31</f>
        <v/>
      </c>
      <c r="AR31" s="129" t="n"/>
      <c r="AS31" s="55" t="n"/>
      <c r="AT31" s="55">
        <f>AU31/AS31</f>
        <v/>
      </c>
      <c r="AU31" s="128" t="n"/>
      <c r="AV31" s="58" t="n"/>
      <c r="AW31" s="58">
        <f>AX31/AV31</f>
        <v/>
      </c>
      <c r="AX31" s="129" t="n"/>
      <c r="AY31" s="55" t="n"/>
      <c r="AZ31" s="55">
        <f>BA31/AY31</f>
        <v/>
      </c>
      <c r="BA31" s="55" t="n"/>
      <c r="BB31" s="58" t="n"/>
      <c r="BC31" s="58">
        <f>BD31/BB31</f>
        <v/>
      </c>
      <c r="BD31" s="58" t="n"/>
      <c r="BE31" s="55" t="n"/>
      <c r="BF31" s="55">
        <f>BG31/BE31</f>
        <v/>
      </c>
      <c r="BG31" s="128" t="n"/>
      <c r="BH31" s="58" t="n"/>
      <c r="BI31" s="58">
        <f>BJ31/BH31</f>
        <v/>
      </c>
      <c r="BJ31" s="129" t="n"/>
      <c r="BK31" s="56" t="n"/>
      <c r="BL31" s="56">
        <f>BM31/BK31</f>
        <v/>
      </c>
      <c r="BM31" s="131" t="n"/>
      <c r="BN31" s="58" t="n"/>
      <c r="BO31" s="58">
        <f>BP31/BN31</f>
        <v/>
      </c>
      <c r="BP31" s="129" t="n"/>
      <c r="BQ31" s="55" t="n"/>
      <c r="BR31" s="55">
        <f>BS31/BQ31</f>
        <v/>
      </c>
      <c r="BS31" s="128" t="n"/>
      <c r="BT31" s="58" t="n"/>
      <c r="BU31" s="58">
        <f>BV31/BT31</f>
        <v/>
      </c>
      <c r="BV31" s="129" t="n"/>
      <c r="BW31" s="55" t="n"/>
      <c r="BX31" s="55">
        <f>BY31/BW31</f>
        <v/>
      </c>
      <c r="BY31" s="128" t="n"/>
      <c r="BZ31" s="58" t="n"/>
      <c r="CA31" s="58">
        <f>CB31/BZ31</f>
        <v/>
      </c>
      <c r="CB31" s="129" t="n"/>
      <c r="CC31" s="55" t="n"/>
      <c r="CD31" s="55">
        <f>CE31/CC31</f>
        <v/>
      </c>
      <c r="CE31" s="128" t="n"/>
      <c r="CF31" s="58" t="n"/>
      <c r="CG31" s="58">
        <f>CH31/CF31</f>
        <v/>
      </c>
      <c r="CH31" s="129" t="n"/>
      <c r="CI31" s="55" t="n"/>
      <c r="CJ31" s="55">
        <f>CK31/CI31</f>
        <v/>
      </c>
      <c r="CK31" s="128" t="n"/>
      <c r="CL31" s="58" t="n"/>
      <c r="CM31" s="58">
        <f>CN31/CL31</f>
        <v/>
      </c>
      <c r="CN31" s="129" t="n"/>
      <c r="CO31" s="55" t="n"/>
      <c r="CP31" s="55">
        <f>CQ31/CO31</f>
        <v/>
      </c>
      <c r="CQ31" s="128" t="n"/>
      <c r="CR31" s="58" t="n"/>
      <c r="CS31" s="58">
        <f>CT31/CR31</f>
        <v/>
      </c>
      <c r="CT31" s="129" t="n"/>
      <c r="CU31" s="55" t="n"/>
      <c r="CV31" s="55">
        <f>CW31/CU31</f>
        <v/>
      </c>
      <c r="CW31" s="55" t="n"/>
    </row>
    <row r="32">
      <c r="A32" s="13" t="n">
        <v>30</v>
      </c>
      <c r="B32" s="13" t="inlineStr">
        <is>
          <t>YH000006</t>
        </is>
      </c>
      <c r="C32" s="13" t="inlineStr">
        <is>
          <t>易耗品</t>
        </is>
      </c>
      <c r="D32" s="13" t="inlineStr">
        <is>
          <t>吸管</t>
        </is>
      </c>
      <c r="E32" s="13" t="inlineStr">
        <is>
          <t>包</t>
        </is>
      </c>
      <c r="F32" s="6">
        <f>I32+L32+O32+R32+U32+X32+AA32+AD32+AG32+AJ32+AM32+AP32+AS32+AV32+AY32+BB32+BE32+BH32+BK32+BN32+BQ32+BT32+BW32+BZ32+CC32+CF32+CI32+CL32+CO32+CR32+CU32</f>
        <v/>
      </c>
      <c r="G32" s="128">
        <f>H32/F32</f>
        <v/>
      </c>
      <c r="H32" s="6">
        <f>K32+N32+Q32+T32+W32+Z32+AC32+AF32+AI32+AL32+AO32+AR32+AU32+AX32+BA32+BD32+BG32+BJ32+BM32+BP32+BS32+BV32+BY32+CB32+CE32+CH32+CK32+CN32+CQ32+CT32+CW32</f>
        <v/>
      </c>
      <c r="I32" s="55" t="n"/>
      <c r="J32" s="55">
        <f>K32/I32</f>
        <v/>
      </c>
      <c r="K32" s="128" t="n"/>
      <c r="L32" s="56" t="n"/>
      <c r="M32" s="56">
        <f>N32/L32</f>
        <v/>
      </c>
      <c r="N32" s="131" t="n"/>
      <c r="O32" s="55" t="n"/>
      <c r="P32" s="55">
        <f>Q32/O32</f>
        <v/>
      </c>
      <c r="Q32" s="128" t="n"/>
      <c r="R32" s="58" t="n"/>
      <c r="S32" s="58">
        <f>T32/R32</f>
        <v/>
      </c>
      <c r="T32" s="129" t="n"/>
      <c r="U32" s="55" t="n"/>
      <c r="V32" s="55">
        <f>W32/U32</f>
        <v/>
      </c>
      <c r="W32" s="128" t="n"/>
      <c r="X32" s="58" t="n"/>
      <c r="Y32" s="58">
        <f>Z32/X32</f>
        <v/>
      </c>
      <c r="Z32" s="129" t="n"/>
      <c r="AA32" s="55" t="n"/>
      <c r="AB32" s="55">
        <f>AC32/AA32</f>
        <v/>
      </c>
      <c r="AC32" s="128" t="n"/>
      <c r="AD32" s="58" t="n"/>
      <c r="AE32" s="58">
        <f>AF32/AD32</f>
        <v/>
      </c>
      <c r="AF32" s="129" t="n"/>
      <c r="AG32" s="55" t="n"/>
      <c r="AH32" s="55">
        <f>AI32/AG32</f>
        <v/>
      </c>
      <c r="AI32" s="128" t="n"/>
      <c r="AJ32" s="58" t="n"/>
      <c r="AK32" s="58">
        <f>AL32/AJ32</f>
        <v/>
      </c>
      <c r="AL32" s="129" t="n"/>
      <c r="AM32" s="55" t="n"/>
      <c r="AN32" s="55">
        <f>AO32/AM32</f>
        <v/>
      </c>
      <c r="AO32" s="128" t="n"/>
      <c r="AP32" s="58" t="n"/>
      <c r="AQ32" s="58">
        <f>AR32/AP32</f>
        <v/>
      </c>
      <c r="AR32" s="129" t="n"/>
      <c r="AS32" s="55" t="n"/>
      <c r="AT32" s="55">
        <f>AU32/AS32</f>
        <v/>
      </c>
      <c r="AU32" s="128" t="n"/>
      <c r="AV32" s="58" t="n"/>
      <c r="AW32" s="58">
        <f>AX32/AV32</f>
        <v/>
      </c>
      <c r="AX32" s="129" t="n"/>
      <c r="AY32" s="55" t="n"/>
      <c r="AZ32" s="55">
        <f>BA32/AY32</f>
        <v/>
      </c>
      <c r="BA32" s="55" t="n"/>
      <c r="BB32" s="58" t="n"/>
      <c r="BC32" s="58">
        <f>BD32/BB32</f>
        <v/>
      </c>
      <c r="BD32" s="58" t="n"/>
      <c r="BE32" s="55" t="n"/>
      <c r="BF32" s="55">
        <f>BG32/BE32</f>
        <v/>
      </c>
      <c r="BG32" s="128" t="n"/>
      <c r="BH32" s="58" t="n"/>
      <c r="BI32" s="58">
        <f>BJ32/BH32</f>
        <v/>
      </c>
      <c r="BJ32" s="129" t="n"/>
      <c r="BK32" s="56" t="n"/>
      <c r="BL32" s="56">
        <f>BM32/BK32</f>
        <v/>
      </c>
      <c r="BM32" s="131" t="n"/>
      <c r="BN32" s="58" t="n"/>
      <c r="BO32" s="58">
        <f>BP32/BN32</f>
        <v/>
      </c>
      <c r="BP32" s="129" t="n"/>
      <c r="BQ32" s="55" t="n"/>
      <c r="BR32" s="55">
        <f>BS32/BQ32</f>
        <v/>
      </c>
      <c r="BS32" s="128" t="n"/>
      <c r="BT32" s="58" t="n"/>
      <c r="BU32" s="58">
        <f>BV32/BT32</f>
        <v/>
      </c>
      <c r="BV32" s="129" t="n"/>
      <c r="BW32" s="55" t="n"/>
      <c r="BX32" s="55">
        <f>BY32/BW32</f>
        <v/>
      </c>
      <c r="BY32" s="128" t="n"/>
      <c r="BZ32" s="58" t="n"/>
      <c r="CA32" s="58">
        <f>CB32/BZ32</f>
        <v/>
      </c>
      <c r="CB32" s="129" t="n"/>
      <c r="CC32" s="55" t="n"/>
      <c r="CD32" s="55">
        <f>CE32/CC32</f>
        <v/>
      </c>
      <c r="CE32" s="128" t="n"/>
      <c r="CF32" s="58" t="n"/>
      <c r="CG32" s="58">
        <f>CH32/CF32</f>
        <v/>
      </c>
      <c r="CH32" s="129" t="n"/>
      <c r="CI32" s="55" t="n"/>
      <c r="CJ32" s="55">
        <f>CK32/CI32</f>
        <v/>
      </c>
      <c r="CK32" s="128" t="n"/>
      <c r="CL32" s="58" t="n"/>
      <c r="CM32" s="58">
        <f>CN32/CL32</f>
        <v/>
      </c>
      <c r="CN32" s="129" t="n"/>
      <c r="CO32" s="55" t="n"/>
      <c r="CP32" s="55">
        <f>CQ32/CO32</f>
        <v/>
      </c>
      <c r="CQ32" s="128" t="n"/>
      <c r="CR32" s="58" t="n"/>
      <c r="CS32" s="58">
        <f>CT32/CR32</f>
        <v/>
      </c>
      <c r="CT32" s="129" t="n"/>
      <c r="CU32" s="55" t="n"/>
      <c r="CV32" s="55">
        <f>CW32/CU32</f>
        <v/>
      </c>
      <c r="CW32" s="55" t="n"/>
    </row>
    <row r="33">
      <c r="A33" s="13" t="n">
        <v>31</v>
      </c>
      <c r="B33" s="13" t="inlineStr">
        <is>
          <t>YH000007</t>
        </is>
      </c>
      <c r="C33" s="13" t="inlineStr">
        <is>
          <t>易耗品</t>
        </is>
      </c>
      <c r="D33" s="13" t="inlineStr">
        <is>
          <t>中垃圾袋</t>
        </is>
      </c>
      <c r="E33" s="13" t="inlineStr">
        <is>
          <t>包</t>
        </is>
      </c>
      <c r="F33" s="6">
        <f>I33+L33+O33+R33+U33+X33+AA33+AD33+AG33+AJ33+AM33+AP33+AS33+AV33+AY33+BB33+BE33+BH33+BK33+BN33+BQ33+BT33+BW33+BZ33+CC33+CF33+CI33+CL33+CO33+CR33+CU33</f>
        <v/>
      </c>
      <c r="G33" s="128">
        <f>H33/F33</f>
        <v/>
      </c>
      <c r="H33" s="6">
        <f>K33+N33+Q33+T33+W33+Z33+AC33+AF33+AI33+AL33+AO33+AR33+AU33+AX33+BA33+BD33+BG33+BJ33+BM33+BP33+BS33+BV33+BY33+CB33+CE33+CH33+CK33+CN33+CQ33+CT33+CW33</f>
        <v/>
      </c>
      <c r="I33" s="55" t="n"/>
      <c r="J33" s="55">
        <f>K33/I33</f>
        <v/>
      </c>
      <c r="K33" s="128" t="n"/>
      <c r="L33" s="56" t="n"/>
      <c r="M33" s="56">
        <f>N33/L33</f>
        <v/>
      </c>
      <c r="N33" s="131" t="n"/>
      <c r="O33" s="55" t="n"/>
      <c r="P33" s="55">
        <f>Q33/O33</f>
        <v/>
      </c>
      <c r="Q33" s="128" t="n"/>
      <c r="R33" s="58" t="n"/>
      <c r="S33" s="58">
        <f>T33/R33</f>
        <v/>
      </c>
      <c r="T33" s="129" t="n"/>
      <c r="U33" s="55" t="n"/>
      <c r="V33" s="55">
        <f>W33/U33</f>
        <v/>
      </c>
      <c r="W33" s="128" t="n"/>
      <c r="X33" s="58" t="n"/>
      <c r="Y33" s="58">
        <f>Z33/X33</f>
        <v/>
      </c>
      <c r="Z33" s="129" t="n"/>
      <c r="AA33" s="55" t="n"/>
      <c r="AB33" s="55">
        <f>AC33/AA33</f>
        <v/>
      </c>
      <c r="AC33" s="128" t="n"/>
      <c r="AD33" s="58" t="n"/>
      <c r="AE33" s="58">
        <f>AF33/AD33</f>
        <v/>
      </c>
      <c r="AF33" s="129" t="n"/>
      <c r="AG33" s="55" t="n"/>
      <c r="AH33" s="55">
        <f>AI33/AG33</f>
        <v/>
      </c>
      <c r="AI33" s="128" t="n"/>
      <c r="AJ33" s="58" t="n"/>
      <c r="AK33" s="58">
        <f>AL33/AJ33</f>
        <v/>
      </c>
      <c r="AL33" s="129" t="n"/>
      <c r="AM33" s="55" t="n"/>
      <c r="AN33" s="55">
        <f>AO33/AM33</f>
        <v/>
      </c>
      <c r="AO33" s="128" t="n"/>
      <c r="AP33" s="58" t="n"/>
      <c r="AQ33" s="58">
        <f>AR33/AP33</f>
        <v/>
      </c>
      <c r="AR33" s="129" t="n"/>
      <c r="AS33" s="55" t="n"/>
      <c r="AT33" s="55">
        <f>AU33/AS33</f>
        <v/>
      </c>
      <c r="AU33" s="128" t="n"/>
      <c r="AV33" s="58" t="n"/>
      <c r="AW33" s="58">
        <f>AX33/AV33</f>
        <v/>
      </c>
      <c r="AX33" s="129" t="n"/>
      <c r="AY33" s="55" t="n"/>
      <c r="AZ33" s="55">
        <f>BA33/AY33</f>
        <v/>
      </c>
      <c r="BA33" s="55" t="n"/>
      <c r="BB33" s="58" t="n"/>
      <c r="BC33" s="58">
        <f>BD33/BB33</f>
        <v/>
      </c>
      <c r="BD33" s="58" t="n"/>
      <c r="BE33" s="55" t="n"/>
      <c r="BF33" s="55">
        <f>BG33/BE33</f>
        <v/>
      </c>
      <c r="BG33" s="128" t="n"/>
      <c r="BH33" s="58" t="n"/>
      <c r="BI33" s="58">
        <f>BJ33/BH33</f>
        <v/>
      </c>
      <c r="BJ33" s="129" t="n"/>
      <c r="BK33" s="56" t="n"/>
      <c r="BL33" s="56">
        <f>BM33/BK33</f>
        <v/>
      </c>
      <c r="BM33" s="131" t="n"/>
      <c r="BN33" s="58" t="n"/>
      <c r="BO33" s="58">
        <f>BP33/BN33</f>
        <v/>
      </c>
      <c r="BP33" s="129" t="n"/>
      <c r="BQ33" s="55" t="n"/>
      <c r="BR33" s="55">
        <f>BS33/BQ33</f>
        <v/>
      </c>
      <c r="BS33" s="128" t="n"/>
      <c r="BT33" s="58" t="n"/>
      <c r="BU33" s="58">
        <f>BV33/BT33</f>
        <v/>
      </c>
      <c r="BV33" s="129" t="n"/>
      <c r="BW33" s="55" t="n"/>
      <c r="BX33" s="55">
        <f>BY33/BW33</f>
        <v/>
      </c>
      <c r="BY33" s="128" t="n"/>
      <c r="BZ33" s="58" t="n"/>
      <c r="CA33" s="58">
        <f>CB33/BZ33</f>
        <v/>
      </c>
      <c r="CB33" s="129" t="n"/>
      <c r="CC33" s="55" t="n"/>
      <c r="CD33" s="55">
        <f>CE33/CC33</f>
        <v/>
      </c>
      <c r="CE33" s="128" t="n"/>
      <c r="CF33" s="58" t="n"/>
      <c r="CG33" s="58">
        <f>CH33/CF33</f>
        <v/>
      </c>
      <c r="CH33" s="129" t="n"/>
      <c r="CI33" s="55" t="n"/>
      <c r="CJ33" s="55">
        <f>CK33/CI33</f>
        <v/>
      </c>
      <c r="CK33" s="128" t="n"/>
      <c r="CL33" s="58" t="n"/>
      <c r="CM33" s="58">
        <f>CN33/CL33</f>
        <v/>
      </c>
      <c r="CN33" s="129" t="n"/>
      <c r="CO33" s="55" t="n"/>
      <c r="CP33" s="55">
        <f>CQ33/CO33</f>
        <v/>
      </c>
      <c r="CQ33" s="128" t="n"/>
      <c r="CR33" s="58" t="n"/>
      <c r="CS33" s="58">
        <f>CT33/CR33</f>
        <v/>
      </c>
      <c r="CT33" s="129" t="n"/>
      <c r="CU33" s="55" t="n"/>
      <c r="CV33" s="55">
        <f>CW33/CU33</f>
        <v/>
      </c>
      <c r="CW33" s="55" t="n"/>
    </row>
    <row r="34">
      <c r="A34" s="13" t="n">
        <v>32</v>
      </c>
      <c r="B34" s="13" t="inlineStr">
        <is>
          <t>YH000008</t>
        </is>
      </c>
      <c r="C34" s="13" t="inlineStr">
        <is>
          <t>易耗品</t>
        </is>
      </c>
      <c r="D34" s="15" t="inlineStr">
        <is>
          <t>雨靴（39、41码）</t>
        </is>
      </c>
      <c r="E34" s="13" t="inlineStr">
        <is>
          <t>双</t>
        </is>
      </c>
      <c r="F34" s="6">
        <f>I34+L34+O34+R34+U34+X34+AA34+AD34+AG34+AJ34+AM34+AP34+AS34+AV34+AY34+BB34+BE34+BH34+BK34+BN34+BQ34+BT34+BW34+BZ34+CC34+CF34+CI34+CL34+CO34+CR34+CU34</f>
        <v/>
      </c>
      <c r="G34" s="128">
        <f>H34/F34</f>
        <v/>
      </c>
      <c r="H34" s="6">
        <f>K34+N34+Q34+T34+W34+Z34+AC34+AF34+AI34+AL34+AO34+AR34+AU34+AX34+BA34+BD34+BG34+BJ34+BM34+BP34+BS34+BV34+BY34+CB34+CE34+CH34+CK34+CN34+CQ34+CT34+CW34</f>
        <v/>
      </c>
      <c r="I34" s="55" t="n"/>
      <c r="J34" s="55">
        <f>K34/I34</f>
        <v/>
      </c>
      <c r="K34" s="128" t="n"/>
      <c r="L34" s="56" t="n"/>
      <c r="M34" s="56">
        <f>N34/L34</f>
        <v/>
      </c>
      <c r="N34" s="131" t="n"/>
      <c r="O34" s="55" t="n"/>
      <c r="P34" s="55">
        <f>Q34/O34</f>
        <v/>
      </c>
      <c r="Q34" s="128" t="n"/>
      <c r="R34" s="58" t="n"/>
      <c r="S34" s="58">
        <f>T34/R34</f>
        <v/>
      </c>
      <c r="T34" s="129" t="n"/>
      <c r="U34" s="55" t="n"/>
      <c r="V34" s="55">
        <f>W34/U34</f>
        <v/>
      </c>
      <c r="W34" s="128" t="n"/>
      <c r="X34" s="58" t="n"/>
      <c r="Y34" s="58">
        <f>Z34/X34</f>
        <v/>
      </c>
      <c r="Z34" s="129" t="n"/>
      <c r="AA34" s="55" t="n"/>
      <c r="AB34" s="55">
        <f>AC34/AA34</f>
        <v/>
      </c>
      <c r="AC34" s="128" t="n"/>
      <c r="AD34" s="58" t="n"/>
      <c r="AE34" s="58">
        <f>AF34/AD34</f>
        <v/>
      </c>
      <c r="AF34" s="129" t="n"/>
      <c r="AG34" s="55" t="n"/>
      <c r="AH34" s="55">
        <f>AI34/AG34</f>
        <v/>
      </c>
      <c r="AI34" s="128" t="n"/>
      <c r="AJ34" s="58" t="n"/>
      <c r="AK34" s="58">
        <f>AL34/AJ34</f>
        <v/>
      </c>
      <c r="AL34" s="129" t="n"/>
      <c r="AM34" s="55" t="n"/>
      <c r="AN34" s="55">
        <f>AO34/AM34</f>
        <v/>
      </c>
      <c r="AO34" s="128" t="n"/>
      <c r="AP34" s="58" t="n"/>
      <c r="AQ34" s="58">
        <f>AR34/AP34</f>
        <v/>
      </c>
      <c r="AR34" s="129" t="n"/>
      <c r="AS34" s="55" t="n"/>
      <c r="AT34" s="55">
        <f>AU34/AS34</f>
        <v/>
      </c>
      <c r="AU34" s="128" t="n"/>
      <c r="AV34" s="58" t="n"/>
      <c r="AW34" s="58">
        <f>AX34/AV34</f>
        <v/>
      </c>
      <c r="AX34" s="129" t="n"/>
      <c r="AY34" s="55" t="n"/>
      <c r="AZ34" s="55">
        <f>BA34/AY34</f>
        <v/>
      </c>
      <c r="BA34" s="55" t="n"/>
      <c r="BB34" s="58" t="n"/>
      <c r="BC34" s="58">
        <f>BD34/BB34</f>
        <v/>
      </c>
      <c r="BD34" s="58" t="n"/>
      <c r="BE34" s="55" t="n"/>
      <c r="BF34" s="55">
        <f>BG34/BE34</f>
        <v/>
      </c>
      <c r="BG34" s="128" t="n"/>
      <c r="BH34" s="58" t="n"/>
      <c r="BI34" s="58">
        <f>BJ34/BH34</f>
        <v/>
      </c>
      <c r="BJ34" s="129" t="n"/>
      <c r="BK34" s="56" t="n"/>
      <c r="BL34" s="56">
        <f>BM34/BK34</f>
        <v/>
      </c>
      <c r="BM34" s="131" t="n"/>
      <c r="BN34" s="58" t="n"/>
      <c r="BO34" s="58">
        <f>BP34/BN34</f>
        <v/>
      </c>
      <c r="BP34" s="129" t="n"/>
      <c r="BQ34" s="55" t="n"/>
      <c r="BR34" s="55">
        <f>BS34/BQ34</f>
        <v/>
      </c>
      <c r="BS34" s="128" t="n"/>
      <c r="BT34" s="58" t="n"/>
      <c r="BU34" s="58">
        <f>BV34/BT34</f>
        <v/>
      </c>
      <c r="BV34" s="129" t="n"/>
      <c r="BW34" s="55" t="n"/>
      <c r="BX34" s="55">
        <f>BY34/BW34</f>
        <v/>
      </c>
      <c r="BY34" s="128" t="n"/>
      <c r="BZ34" s="58" t="n"/>
      <c r="CA34" s="58">
        <f>CB34/BZ34</f>
        <v/>
      </c>
      <c r="CB34" s="129" t="n"/>
      <c r="CC34" s="55" t="n"/>
      <c r="CD34" s="55">
        <f>CE34/CC34</f>
        <v/>
      </c>
      <c r="CE34" s="128" t="n"/>
      <c r="CF34" s="58" t="n"/>
      <c r="CG34" s="58">
        <f>CH34/CF34</f>
        <v/>
      </c>
      <c r="CH34" s="129" t="n"/>
      <c r="CI34" s="55" t="n"/>
      <c r="CJ34" s="55">
        <f>CK34/CI34</f>
        <v/>
      </c>
      <c r="CK34" s="128" t="n"/>
      <c r="CL34" s="58" t="n"/>
      <c r="CM34" s="58">
        <f>CN34/CL34</f>
        <v/>
      </c>
      <c r="CN34" s="129" t="n"/>
      <c r="CO34" s="55" t="n"/>
      <c r="CP34" s="55">
        <f>CQ34/CO34</f>
        <v/>
      </c>
      <c r="CQ34" s="128" t="n"/>
      <c r="CR34" s="58" t="n"/>
      <c r="CS34" s="58">
        <f>CT34/CR34</f>
        <v/>
      </c>
      <c r="CT34" s="129" t="n"/>
      <c r="CU34" s="55" t="n"/>
      <c r="CV34" s="55">
        <f>CW34/CU34</f>
        <v/>
      </c>
      <c r="CW34" s="55" t="n"/>
    </row>
    <row r="35">
      <c r="A35" s="13" t="n">
        <v>33</v>
      </c>
      <c r="B35" s="13" t="inlineStr">
        <is>
          <t>YH000009</t>
        </is>
      </c>
      <c r="C35" s="13" t="inlineStr">
        <is>
          <t>易耗品</t>
        </is>
      </c>
      <c r="D35" s="13" t="inlineStr">
        <is>
          <t>百洁布</t>
        </is>
      </c>
      <c r="E35" s="13" t="inlineStr">
        <is>
          <t>卷</t>
        </is>
      </c>
      <c r="F35" s="6">
        <f>I35+L35+O35+R35+U35+X35+AA35+AD35+AG35+AJ35+AM35+AP35+AS35+AV35+AY35+BB35+BE35+BH35+BK35+BN35+BQ35+BT35+BW35+BZ35+CC35+CF35+CI35+CL35+CO35+CR35+CU35</f>
        <v/>
      </c>
      <c r="G35" s="128">
        <f>H35/F35</f>
        <v/>
      </c>
      <c r="H35" s="6">
        <f>K35+N35+Q35+T35+W35+Z35+AC35+AF35+AI35+AL35+AO35+AR35+AU35+AX35+BA35+BD35+BG35+BJ35+BM35+BP35+BS35+BV35+BY35+CB35+CE35+CH35+CK35+CN35+CQ35+CT35+CW35</f>
        <v/>
      </c>
      <c r="I35" s="55" t="n"/>
      <c r="J35" s="55">
        <f>K35/I35</f>
        <v/>
      </c>
      <c r="K35" s="128" t="n"/>
      <c r="L35" s="56" t="n"/>
      <c r="M35" s="56">
        <f>N35/L35</f>
        <v/>
      </c>
      <c r="N35" s="131" t="n"/>
      <c r="O35" s="55" t="n"/>
      <c r="P35" s="55">
        <f>Q35/O35</f>
        <v/>
      </c>
      <c r="Q35" s="128" t="n"/>
      <c r="R35" s="58" t="n"/>
      <c r="S35" s="58">
        <f>T35/R35</f>
        <v/>
      </c>
      <c r="T35" s="129" t="n"/>
      <c r="U35" s="55" t="n"/>
      <c r="V35" s="55">
        <f>W35/U35</f>
        <v/>
      </c>
      <c r="W35" s="128" t="n"/>
      <c r="X35" s="58" t="n"/>
      <c r="Y35" s="58">
        <f>Z35/X35</f>
        <v/>
      </c>
      <c r="Z35" s="129" t="n"/>
      <c r="AA35" s="55" t="n"/>
      <c r="AB35" s="55">
        <f>AC35/AA35</f>
        <v/>
      </c>
      <c r="AC35" s="128" t="n"/>
      <c r="AD35" s="58" t="n"/>
      <c r="AE35" s="58">
        <f>AF35/AD35</f>
        <v/>
      </c>
      <c r="AF35" s="129" t="n"/>
      <c r="AG35" s="55" t="n"/>
      <c r="AH35" s="55">
        <f>AI35/AG35</f>
        <v/>
      </c>
      <c r="AI35" s="128" t="n"/>
      <c r="AJ35" s="58" t="n"/>
      <c r="AK35" s="58">
        <f>AL35/AJ35</f>
        <v/>
      </c>
      <c r="AL35" s="129" t="n"/>
      <c r="AM35" s="55" t="n"/>
      <c r="AN35" s="55">
        <f>AO35/AM35</f>
        <v/>
      </c>
      <c r="AO35" s="128" t="n"/>
      <c r="AP35" s="58" t="n"/>
      <c r="AQ35" s="58">
        <f>AR35/AP35</f>
        <v/>
      </c>
      <c r="AR35" s="129" t="n"/>
      <c r="AS35" s="55" t="n"/>
      <c r="AT35" s="55">
        <f>AU35/AS35</f>
        <v/>
      </c>
      <c r="AU35" s="128" t="n"/>
      <c r="AV35" s="58" t="n"/>
      <c r="AW35" s="58">
        <f>AX35/AV35</f>
        <v/>
      </c>
      <c r="AX35" s="129" t="n"/>
      <c r="AY35" s="55" t="n"/>
      <c r="AZ35" s="55">
        <f>BA35/AY35</f>
        <v/>
      </c>
      <c r="BA35" s="55" t="n"/>
      <c r="BB35" s="58" t="n"/>
      <c r="BC35" s="58">
        <f>BD35/BB35</f>
        <v/>
      </c>
      <c r="BD35" s="58" t="n"/>
      <c r="BE35" s="55" t="n"/>
      <c r="BF35" s="55">
        <f>BG35/BE35</f>
        <v/>
      </c>
      <c r="BG35" s="128" t="n"/>
      <c r="BH35" s="58" t="n"/>
      <c r="BI35" s="58">
        <f>BJ35/BH35</f>
        <v/>
      </c>
      <c r="BJ35" s="129" t="n"/>
      <c r="BK35" s="56" t="n"/>
      <c r="BL35" s="56">
        <f>BM35/BK35</f>
        <v/>
      </c>
      <c r="BM35" s="131" t="n"/>
      <c r="BN35" s="58" t="n"/>
      <c r="BO35" s="58">
        <f>BP35/BN35</f>
        <v/>
      </c>
      <c r="BP35" s="129" t="n"/>
      <c r="BQ35" s="55" t="n"/>
      <c r="BR35" s="55">
        <f>BS35/BQ35</f>
        <v/>
      </c>
      <c r="BS35" s="128" t="n"/>
      <c r="BT35" s="58" t="n"/>
      <c r="BU35" s="58">
        <f>BV35/BT35</f>
        <v/>
      </c>
      <c r="BV35" s="129" t="n"/>
      <c r="BW35" s="55" t="n"/>
      <c r="BX35" s="55">
        <f>BY35/BW35</f>
        <v/>
      </c>
      <c r="BY35" s="128" t="n"/>
      <c r="BZ35" s="58" t="n"/>
      <c r="CA35" s="58">
        <f>CB35/BZ35</f>
        <v/>
      </c>
      <c r="CB35" s="129" t="n"/>
      <c r="CC35" s="55" t="n"/>
      <c r="CD35" s="55">
        <f>CE35/CC35</f>
        <v/>
      </c>
      <c r="CE35" s="128" t="n"/>
      <c r="CF35" s="58" t="n"/>
      <c r="CG35" s="58">
        <f>CH35/CF35</f>
        <v/>
      </c>
      <c r="CH35" s="129" t="n"/>
      <c r="CI35" s="55" t="n"/>
      <c r="CJ35" s="55">
        <f>CK35/CI35</f>
        <v/>
      </c>
      <c r="CK35" s="128" t="n"/>
      <c r="CL35" s="58" t="n"/>
      <c r="CM35" s="58">
        <f>CN35/CL35</f>
        <v/>
      </c>
      <c r="CN35" s="129" t="n"/>
      <c r="CO35" s="55" t="n"/>
      <c r="CP35" s="55">
        <f>CQ35/CO35</f>
        <v/>
      </c>
      <c r="CQ35" s="128" t="n"/>
      <c r="CR35" s="58" t="n"/>
      <c r="CS35" s="58">
        <f>CT35/CR35</f>
        <v/>
      </c>
      <c r="CT35" s="129" t="n"/>
      <c r="CU35" s="55" t="n"/>
      <c r="CV35" s="55">
        <f>CW35/CU35</f>
        <v/>
      </c>
      <c r="CW35" s="55" t="n"/>
    </row>
    <row r="36">
      <c r="A36" s="13" t="n">
        <v>34</v>
      </c>
      <c r="B36" s="13" t="inlineStr">
        <is>
          <t>YH000010</t>
        </is>
      </c>
      <c r="C36" s="13" t="inlineStr">
        <is>
          <t>易耗品</t>
        </is>
      </c>
      <c r="D36" s="13" t="inlineStr">
        <is>
          <t>保鲜袋</t>
        </is>
      </c>
      <c r="E36" s="13" t="inlineStr">
        <is>
          <t>卷</t>
        </is>
      </c>
      <c r="F36" s="6">
        <f>I36+L36+O36+R36+U36+X36+AA36+AD36+AG36+AJ36+AM36+AP36+AS36+AV36+AY36+BB36+BE36+BH36+BK36+BN36+BQ36+BT36+BW36+BZ36+CC36+CF36+CI36+CL36+CO36+CR36+CU36</f>
        <v/>
      </c>
      <c r="G36" s="128">
        <f>H36/F36</f>
        <v/>
      </c>
      <c r="H36" s="6">
        <f>K36+N36+Q36+T36+W36+Z36+AC36+AF36+AI36+AL36+AO36+AR36+AU36+AX36+BA36+BD36+BG36+BJ36+BM36+BP36+BS36+BV36+BY36+CB36+CE36+CH36+CK36+CN36+CQ36+CT36+CW36</f>
        <v/>
      </c>
      <c r="I36" s="55" t="n"/>
      <c r="J36" s="55">
        <f>K36/I36</f>
        <v/>
      </c>
      <c r="K36" s="128" t="n"/>
      <c r="L36" s="56" t="n"/>
      <c r="M36" s="56">
        <f>N36/L36</f>
        <v/>
      </c>
      <c r="N36" s="131" t="n"/>
      <c r="O36" s="55" t="n"/>
      <c r="P36" s="55">
        <f>Q36/O36</f>
        <v/>
      </c>
      <c r="Q36" s="128" t="n"/>
      <c r="R36" s="58" t="n"/>
      <c r="S36" s="58">
        <f>T36/R36</f>
        <v/>
      </c>
      <c r="T36" s="129" t="n"/>
      <c r="U36" s="55" t="n"/>
      <c r="V36" s="55">
        <f>W36/U36</f>
        <v/>
      </c>
      <c r="W36" s="128" t="n"/>
      <c r="X36" s="58" t="n"/>
      <c r="Y36" s="58">
        <f>Z36/X36</f>
        <v/>
      </c>
      <c r="Z36" s="129" t="n"/>
      <c r="AA36" s="55" t="n"/>
      <c r="AB36" s="55">
        <f>AC36/AA36</f>
        <v/>
      </c>
      <c r="AC36" s="128" t="n"/>
      <c r="AD36" s="58" t="n"/>
      <c r="AE36" s="58">
        <f>AF36/AD36</f>
        <v/>
      </c>
      <c r="AF36" s="129" t="n"/>
      <c r="AG36" s="55" t="n"/>
      <c r="AH36" s="55">
        <f>AI36/AG36</f>
        <v/>
      </c>
      <c r="AI36" s="128" t="n"/>
      <c r="AJ36" s="58" t="n"/>
      <c r="AK36" s="58">
        <f>AL36/AJ36</f>
        <v/>
      </c>
      <c r="AL36" s="129" t="n"/>
      <c r="AM36" s="55" t="n"/>
      <c r="AN36" s="55">
        <f>AO36/AM36</f>
        <v/>
      </c>
      <c r="AO36" s="128" t="n"/>
      <c r="AP36" s="58" t="n"/>
      <c r="AQ36" s="58">
        <f>AR36/AP36</f>
        <v/>
      </c>
      <c r="AR36" s="129" t="n"/>
      <c r="AS36" s="55" t="n"/>
      <c r="AT36" s="55">
        <f>AU36/AS36</f>
        <v/>
      </c>
      <c r="AU36" s="128" t="n"/>
      <c r="AV36" s="58" t="n"/>
      <c r="AW36" s="58">
        <f>AX36/AV36</f>
        <v/>
      </c>
      <c r="AX36" s="129" t="n"/>
      <c r="AY36" s="55" t="n"/>
      <c r="AZ36" s="55">
        <f>BA36/AY36</f>
        <v/>
      </c>
      <c r="BA36" s="55" t="n"/>
      <c r="BB36" s="58" t="n"/>
      <c r="BC36" s="58">
        <f>BD36/BB36</f>
        <v/>
      </c>
      <c r="BD36" s="58" t="n"/>
      <c r="BE36" s="55" t="n"/>
      <c r="BF36" s="55">
        <f>BG36/BE36</f>
        <v/>
      </c>
      <c r="BG36" s="128" t="n"/>
      <c r="BH36" s="58" t="n"/>
      <c r="BI36" s="58">
        <f>BJ36/BH36</f>
        <v/>
      </c>
      <c r="BJ36" s="129" t="n"/>
      <c r="BK36" s="56" t="n"/>
      <c r="BL36" s="56">
        <f>BM36/BK36</f>
        <v/>
      </c>
      <c r="BM36" s="131" t="n"/>
      <c r="BN36" s="58" t="n"/>
      <c r="BO36" s="58">
        <f>BP36/BN36</f>
        <v/>
      </c>
      <c r="BP36" s="129" t="n"/>
      <c r="BQ36" s="55" t="n"/>
      <c r="BR36" s="55">
        <f>BS36/BQ36</f>
        <v/>
      </c>
      <c r="BS36" s="128" t="n"/>
      <c r="BT36" s="58" t="n"/>
      <c r="BU36" s="58">
        <f>BV36/BT36</f>
        <v/>
      </c>
      <c r="BV36" s="129" t="n"/>
      <c r="BW36" s="55" t="n"/>
      <c r="BX36" s="55">
        <f>BY36/BW36</f>
        <v/>
      </c>
      <c r="BY36" s="128" t="n"/>
      <c r="BZ36" s="58" t="n"/>
      <c r="CA36" s="58">
        <f>CB36/BZ36</f>
        <v/>
      </c>
      <c r="CB36" s="129" t="n"/>
      <c r="CC36" s="55" t="n"/>
      <c r="CD36" s="55">
        <f>CE36/CC36</f>
        <v/>
      </c>
      <c r="CE36" s="128" t="n"/>
      <c r="CF36" s="58" t="n"/>
      <c r="CG36" s="58">
        <f>CH36/CF36</f>
        <v/>
      </c>
      <c r="CH36" s="129" t="n"/>
      <c r="CI36" s="55" t="n"/>
      <c r="CJ36" s="55">
        <f>CK36/CI36</f>
        <v/>
      </c>
      <c r="CK36" s="128" t="n"/>
      <c r="CL36" s="58" t="n"/>
      <c r="CM36" s="58">
        <f>CN36/CL36</f>
        <v/>
      </c>
      <c r="CN36" s="129" t="n"/>
      <c r="CO36" s="55" t="n"/>
      <c r="CP36" s="55">
        <f>CQ36/CO36</f>
        <v/>
      </c>
      <c r="CQ36" s="128" t="n"/>
      <c r="CR36" s="58" t="n"/>
      <c r="CS36" s="58">
        <f>CT36/CR36</f>
        <v/>
      </c>
      <c r="CT36" s="129" t="n"/>
      <c r="CU36" s="55" t="n"/>
      <c r="CV36" s="55">
        <f>CW36/CU36</f>
        <v/>
      </c>
      <c r="CW36" s="55" t="n"/>
    </row>
    <row r="37" customFormat="1" s="46">
      <c r="A37" s="42" t="n">
        <v>35</v>
      </c>
      <c r="B37" s="42" t="inlineStr">
        <is>
          <t>ZC000025</t>
        </is>
      </c>
      <c r="C37" s="42" t="inlineStr">
        <is>
          <t>食品类</t>
        </is>
      </c>
      <c r="D37" s="42" t="inlineStr">
        <is>
          <t>陈醋</t>
        </is>
      </c>
      <c r="E37" s="42" t="inlineStr">
        <is>
          <t>瓶</t>
        </is>
      </c>
      <c r="F37" s="61">
        <f>I37+L37+O37+R37+U37+X37+AA37+AD37+AG37+AJ37+AM37+AP37+AS37+AV37+AY37+BB37+BE37+BH37+BK37+BN37+BQ37+BT37+BW37+BZ37+CC37+CF37+CI37+CL37+CO37+CR37+CU37</f>
        <v/>
      </c>
      <c r="G37" s="133">
        <f>H37/F37</f>
        <v/>
      </c>
      <c r="H37" s="61">
        <f>K37+N37+Q37+T37+W37+Z37+AC37+AF37+AI37+AL37+AO37+AR37+AU37+AX37+BA37+BD37+BG37+BJ37+BM37+BP37+BS37+BV37+BY37+CB37+CE37+CH37+CK37+CN37+CQ37+CT37+CW37</f>
        <v/>
      </c>
      <c r="I37" s="63" t="n"/>
      <c r="J37" s="63">
        <f>K37/I37</f>
        <v/>
      </c>
      <c r="K37" s="133" t="n"/>
      <c r="L37" s="63" t="n"/>
      <c r="M37" s="63">
        <f>N37/L37</f>
        <v/>
      </c>
      <c r="N37" s="133" t="n"/>
      <c r="O37" s="63" t="n"/>
      <c r="P37" s="63">
        <f>Q37/O37</f>
        <v/>
      </c>
      <c r="Q37" s="133" t="n"/>
      <c r="R37" s="63" t="n"/>
      <c r="S37" s="63">
        <f>T37/R37</f>
        <v/>
      </c>
      <c r="T37" s="133" t="n"/>
      <c r="U37" s="63" t="n"/>
      <c r="V37" s="63" t="n"/>
      <c r="W37" s="133" t="n"/>
      <c r="X37" s="63" t="n"/>
      <c r="Y37" s="63">
        <f>Z37/X37</f>
        <v/>
      </c>
      <c r="Z37" s="133" t="n"/>
      <c r="AA37" s="63" t="n"/>
      <c r="AB37" s="63">
        <f>AC37/AA37</f>
        <v/>
      </c>
      <c r="AC37" s="133" t="n"/>
      <c r="AD37" s="63" t="n"/>
      <c r="AE37" s="63">
        <f>AF37/AD37</f>
        <v/>
      </c>
      <c r="AF37" s="133" t="n"/>
      <c r="AG37" s="63" t="n"/>
      <c r="AH37" s="63">
        <f>AI37/AG37</f>
        <v/>
      </c>
      <c r="AI37" s="133" t="n"/>
      <c r="AJ37" s="63" t="n"/>
      <c r="AK37" s="63">
        <f>AL37/AJ37</f>
        <v/>
      </c>
      <c r="AL37" s="133" t="n"/>
      <c r="AM37" s="63" t="n"/>
      <c r="AN37" s="63">
        <f>AO37/AM37</f>
        <v/>
      </c>
      <c r="AO37" s="133" t="n"/>
      <c r="AP37" s="63" t="n"/>
      <c r="AQ37" s="63">
        <f>AR37/AP37</f>
        <v/>
      </c>
      <c r="AR37" s="133" t="n"/>
      <c r="AS37" s="63" t="n"/>
      <c r="AT37" s="63">
        <f>AU37/AS37</f>
        <v/>
      </c>
      <c r="AU37" s="133" t="n"/>
      <c r="AV37" s="63" t="n"/>
      <c r="AW37" s="63">
        <f>AX37/AV37</f>
        <v/>
      </c>
      <c r="AX37" s="133" t="n"/>
      <c r="AY37" s="63" t="n"/>
      <c r="AZ37" s="63">
        <f>BA37/AY37</f>
        <v/>
      </c>
      <c r="BA37" s="63" t="n"/>
      <c r="BB37" s="63" t="n"/>
      <c r="BC37" s="63">
        <f>BD37/BB37</f>
        <v/>
      </c>
      <c r="BD37" s="63" t="n"/>
      <c r="BE37" s="63" t="n"/>
      <c r="BF37" s="63">
        <f>BG37/BE37</f>
        <v/>
      </c>
      <c r="BG37" s="133" t="n"/>
      <c r="BH37" s="63" t="n"/>
      <c r="BI37" s="63">
        <f>BJ37/BH37</f>
        <v/>
      </c>
      <c r="BJ37" s="133" t="n"/>
      <c r="BK37" s="56" t="n"/>
      <c r="BL37" s="56">
        <f>BM37/BK37</f>
        <v/>
      </c>
      <c r="BM37" s="131" t="n"/>
      <c r="BN37" s="63" t="n"/>
      <c r="BO37" s="63">
        <f>BP37/BN37</f>
        <v/>
      </c>
      <c r="BP37" s="133" t="n"/>
      <c r="BQ37" s="63" t="n"/>
      <c r="BR37" s="63">
        <f>BS37/BQ37</f>
        <v/>
      </c>
      <c r="BS37" s="133" t="n"/>
      <c r="BT37" s="63" t="n"/>
      <c r="BU37" s="63">
        <f>BV37/BT37</f>
        <v/>
      </c>
      <c r="BV37" s="133" t="n"/>
      <c r="BW37" s="63" t="n"/>
      <c r="BX37" s="63">
        <f>BY37/BW37</f>
        <v/>
      </c>
      <c r="BY37" s="133" t="n"/>
      <c r="BZ37" s="63" t="n"/>
      <c r="CA37" s="63">
        <f>CB37/BZ37</f>
        <v/>
      </c>
      <c r="CB37" s="133" t="n"/>
      <c r="CC37" s="63" t="n"/>
      <c r="CD37" s="63">
        <f>CE37/CC37</f>
        <v/>
      </c>
      <c r="CE37" s="133" t="n"/>
      <c r="CF37" s="63" t="n"/>
      <c r="CG37" s="63">
        <f>CH37/CF37</f>
        <v/>
      </c>
      <c r="CH37" s="133" t="n"/>
      <c r="CI37" s="63" t="n"/>
      <c r="CJ37" s="63">
        <f>CK37/CI37</f>
        <v/>
      </c>
      <c r="CK37" s="133" t="n"/>
      <c r="CL37" s="63" t="n"/>
      <c r="CM37" s="63">
        <f>CN37/CL37</f>
        <v/>
      </c>
      <c r="CN37" s="133" t="n"/>
      <c r="CO37" s="63" t="n"/>
      <c r="CP37" s="63">
        <f>CQ37/CO37</f>
        <v/>
      </c>
      <c r="CQ37" s="133" t="n"/>
      <c r="CR37" s="63" t="n"/>
      <c r="CS37" s="63">
        <f>CT37/CR37</f>
        <v/>
      </c>
      <c r="CT37" s="133" t="n"/>
      <c r="CU37" s="63" t="n"/>
      <c r="CV37" s="63">
        <f>CW37/CU37</f>
        <v/>
      </c>
      <c r="CW37" s="63" t="n"/>
    </row>
    <row r="38">
      <c r="A38" s="13" t="n">
        <v>36</v>
      </c>
      <c r="B38" s="13" t="inlineStr">
        <is>
          <t>YH000011</t>
        </is>
      </c>
      <c r="C38" s="13" t="inlineStr">
        <is>
          <t>易耗品</t>
        </is>
      </c>
      <c r="D38" s="13" t="inlineStr">
        <is>
          <t>大垃圾袋</t>
        </is>
      </c>
      <c r="E38" s="13" t="inlineStr">
        <is>
          <t>只</t>
        </is>
      </c>
      <c r="F38" s="6">
        <f>I38+L38+O38+R38+U38+X38+AA38+AD38+AG38+AJ38+AM38+AP38+AS38+AV38+AY38+BB38+BE38+BH38+BK38+BN38+BQ38+BT38+BW38+BZ38+CC38+CF38+CI38+CL38+CO38+CR38+CU38</f>
        <v/>
      </c>
      <c r="G38" s="128">
        <f>H38/F38</f>
        <v/>
      </c>
      <c r="H38" s="6">
        <f>K38+N38+Q38+T38+W38+Z38+AC38+AF38+AI38+AL38+AO38+AR38+AU38+AX38+BA38+BD38+BG38+BJ38+BM38+BP38+BS38+BV38+BY38+CB38+CE38+CH38+CK38+CN38+CQ38+CT38+CW38</f>
        <v/>
      </c>
      <c r="I38" s="55" t="n"/>
      <c r="J38" s="55">
        <f>K38/I38</f>
        <v/>
      </c>
      <c r="K38" s="128" t="n"/>
      <c r="L38" s="56" t="n"/>
      <c r="M38" s="56">
        <f>N38/L38</f>
        <v/>
      </c>
      <c r="N38" s="131" t="n"/>
      <c r="O38" s="55" t="n"/>
      <c r="P38" s="55">
        <f>Q38/O38</f>
        <v/>
      </c>
      <c r="Q38" s="128" t="n"/>
      <c r="R38" s="58" t="n"/>
      <c r="S38" s="58">
        <f>T38/R38</f>
        <v/>
      </c>
      <c r="T38" s="129" t="n"/>
      <c r="U38" s="55" t="n"/>
      <c r="V38" s="55">
        <f>W38/U38</f>
        <v/>
      </c>
      <c r="W38" s="128" t="n"/>
      <c r="X38" s="58" t="n"/>
      <c r="Y38" s="58">
        <f>Z38/X38</f>
        <v/>
      </c>
      <c r="Z38" s="129" t="n"/>
      <c r="AA38" s="55" t="n"/>
      <c r="AB38" s="55">
        <f>AC38/AA38</f>
        <v/>
      </c>
      <c r="AC38" s="128" t="n"/>
      <c r="AD38" s="58" t="n"/>
      <c r="AE38" s="58">
        <f>AF38/AD38</f>
        <v/>
      </c>
      <c r="AF38" s="129" t="n"/>
      <c r="AG38" s="55" t="n"/>
      <c r="AH38" s="55">
        <f>AI38/AG38</f>
        <v/>
      </c>
      <c r="AI38" s="128" t="n"/>
      <c r="AJ38" s="58" t="n"/>
      <c r="AK38" s="58">
        <f>AL38/AJ38</f>
        <v/>
      </c>
      <c r="AL38" s="129" t="n"/>
      <c r="AM38" s="55" t="n"/>
      <c r="AN38" s="55">
        <f>AO38/AM38</f>
        <v/>
      </c>
      <c r="AO38" s="128" t="n"/>
      <c r="AP38" s="58" t="n"/>
      <c r="AQ38" s="58">
        <f>AR38/AP38</f>
        <v/>
      </c>
      <c r="AR38" s="129" t="n"/>
      <c r="AS38" s="55" t="n"/>
      <c r="AT38" s="55">
        <f>AU38/AS38</f>
        <v/>
      </c>
      <c r="AU38" s="128" t="n"/>
      <c r="AV38" s="58" t="n"/>
      <c r="AW38" s="58">
        <f>AX38/AV38</f>
        <v/>
      </c>
      <c r="AX38" s="129" t="n"/>
      <c r="AY38" s="55" t="n"/>
      <c r="AZ38" s="55">
        <f>BA38/AY38</f>
        <v/>
      </c>
      <c r="BA38" s="55" t="n"/>
      <c r="BB38" s="58" t="n"/>
      <c r="BC38" s="58">
        <f>BD38/BB38</f>
        <v/>
      </c>
      <c r="BD38" s="58" t="n"/>
      <c r="BE38" s="55" t="n"/>
      <c r="BF38" s="55">
        <f>BG38/BE38</f>
        <v/>
      </c>
      <c r="BG38" s="128" t="n"/>
      <c r="BH38" s="58" t="n"/>
      <c r="BI38" s="58">
        <f>BJ38/BH38</f>
        <v/>
      </c>
      <c r="BJ38" s="129" t="n"/>
      <c r="BK38" s="56" t="n"/>
      <c r="BL38" s="56">
        <f>BM38/BK38</f>
        <v/>
      </c>
      <c r="BM38" s="131" t="n"/>
      <c r="BN38" s="58" t="n"/>
      <c r="BO38" s="58">
        <f>BP38/BN38</f>
        <v/>
      </c>
      <c r="BP38" s="129" t="n"/>
      <c r="BQ38" s="55" t="n"/>
      <c r="BR38" s="55">
        <f>BS38/BQ38</f>
        <v/>
      </c>
      <c r="BS38" s="128" t="n"/>
      <c r="BT38" s="58" t="n"/>
      <c r="BU38" s="58">
        <f>BV38/BT38</f>
        <v/>
      </c>
      <c r="BV38" s="129" t="n"/>
      <c r="BW38" s="55" t="n"/>
      <c r="BX38" s="55">
        <f>BY38/BW38</f>
        <v/>
      </c>
      <c r="BY38" s="128" t="n"/>
      <c r="BZ38" s="58" t="n"/>
      <c r="CA38" s="58">
        <f>CB38/BZ38</f>
        <v/>
      </c>
      <c r="CB38" s="129" t="n"/>
      <c r="CC38" s="55" t="n"/>
      <c r="CD38" s="55">
        <f>CE38/CC38</f>
        <v/>
      </c>
      <c r="CE38" s="128" t="n"/>
      <c r="CF38" s="58" t="n"/>
      <c r="CG38" s="58">
        <f>CH38/CF38</f>
        <v/>
      </c>
      <c r="CH38" s="129" t="n"/>
      <c r="CI38" s="55" t="n"/>
      <c r="CJ38" s="55">
        <f>CK38/CI38</f>
        <v/>
      </c>
      <c r="CK38" s="128" t="n"/>
      <c r="CL38" s="58" t="n"/>
      <c r="CM38" s="58">
        <f>CN38/CL38</f>
        <v/>
      </c>
      <c r="CN38" s="129" t="n"/>
      <c r="CO38" s="55" t="n"/>
      <c r="CP38" s="55">
        <f>CQ38/CO38</f>
        <v/>
      </c>
      <c r="CQ38" s="128" t="n"/>
      <c r="CR38" s="58" t="n"/>
      <c r="CS38" s="58">
        <f>CT38/CR38</f>
        <v/>
      </c>
      <c r="CT38" s="129" t="n"/>
      <c r="CU38" s="55" t="n"/>
      <c r="CV38" s="55">
        <f>CW38/CU38</f>
        <v/>
      </c>
      <c r="CW38" s="55" t="n"/>
    </row>
    <row r="39">
      <c r="A39" s="13" t="n">
        <v>37</v>
      </c>
      <c r="B39" s="13" t="inlineStr">
        <is>
          <t>YH000012</t>
        </is>
      </c>
      <c r="C39" s="13" t="inlineStr">
        <is>
          <t>易耗品</t>
        </is>
      </c>
      <c r="D39" s="13" t="inlineStr">
        <is>
          <t>煲汤袋</t>
        </is>
      </c>
      <c r="E39" s="13" t="inlineStr">
        <is>
          <t>包</t>
        </is>
      </c>
      <c r="F39" s="6">
        <f>I39+L39+O39+R39+U39+X39+AA39+AD39+AG39+AJ39+AM39+AP39+AS39+AV39+AY39+BB39+BE39+BH39+BK39+BN39+BQ39+BT39+BW39+BZ39+CC39+CF39+CI39+CL39+CO39+CR39+CU39</f>
        <v/>
      </c>
      <c r="G39" s="128">
        <f>H39/F39</f>
        <v/>
      </c>
      <c r="H39" s="6">
        <f>K39+N39+Q39+T39+W39+Z39+AC39+AF39+AI39+AL39+AO39+AR39+AU39+AX39+BA39+BD39+BG39+BJ39+BM39+BP39+BS39+BV39+BY39+CB39+CE39+CH39+CK39+CN39+CQ39+CT39+CW39</f>
        <v/>
      </c>
      <c r="I39" s="55" t="n"/>
      <c r="J39" s="55">
        <f>K39/I39</f>
        <v/>
      </c>
      <c r="K39" s="128" t="n"/>
      <c r="L39" s="56" t="n"/>
      <c r="M39" s="56">
        <f>N39/L39</f>
        <v/>
      </c>
      <c r="N39" s="131" t="n"/>
      <c r="O39" s="55" t="n"/>
      <c r="P39" s="132">
        <f>Q39/O39</f>
        <v/>
      </c>
      <c r="Q39" s="128" t="n"/>
      <c r="R39" s="58" t="n"/>
      <c r="S39" s="58">
        <f>T39/R39</f>
        <v/>
      </c>
      <c r="T39" s="129" t="n"/>
      <c r="U39" s="55" t="n"/>
      <c r="V39" s="55">
        <f>W39/U39</f>
        <v/>
      </c>
      <c r="W39" s="128" t="n"/>
      <c r="X39" s="58" t="n"/>
      <c r="Y39" s="58">
        <f>Z39/X39</f>
        <v/>
      </c>
      <c r="Z39" s="129" t="n"/>
      <c r="AA39" s="55" t="n"/>
      <c r="AB39" s="55">
        <f>AC39/AA39</f>
        <v/>
      </c>
      <c r="AC39" s="128" t="n"/>
      <c r="AD39" s="58" t="n"/>
      <c r="AE39" s="58">
        <f>AF39/AD39</f>
        <v/>
      </c>
      <c r="AF39" s="129" t="n"/>
      <c r="AG39" s="55" t="n"/>
      <c r="AH39" s="55">
        <f>AI39/AG39</f>
        <v/>
      </c>
      <c r="AI39" s="128" t="n"/>
      <c r="AJ39" s="58" t="n"/>
      <c r="AK39" s="58">
        <f>AL39/AJ39</f>
        <v/>
      </c>
      <c r="AL39" s="129" t="n"/>
      <c r="AM39" s="55" t="n"/>
      <c r="AN39" s="55">
        <f>AO39/AM39</f>
        <v/>
      </c>
      <c r="AO39" s="128" t="n"/>
      <c r="AP39" s="58" t="n"/>
      <c r="AQ39" s="58">
        <f>AR39/AP39</f>
        <v/>
      </c>
      <c r="AR39" s="129" t="n"/>
      <c r="AS39" s="55" t="n"/>
      <c r="AT39" s="55">
        <f>AU39/AS39</f>
        <v/>
      </c>
      <c r="AU39" s="128" t="n"/>
      <c r="AV39" s="58" t="n"/>
      <c r="AW39" s="58">
        <f>AX39/AV39</f>
        <v/>
      </c>
      <c r="AX39" s="129" t="n"/>
      <c r="AY39" s="55" t="n"/>
      <c r="AZ39" s="55">
        <f>BA39/AY39</f>
        <v/>
      </c>
      <c r="BA39" s="55" t="n"/>
      <c r="BB39" s="58" t="n"/>
      <c r="BC39" s="58">
        <f>BD39/BB39</f>
        <v/>
      </c>
      <c r="BD39" s="58" t="n"/>
      <c r="BE39" s="55" t="n"/>
      <c r="BF39" s="55">
        <f>BG39/BE39</f>
        <v/>
      </c>
      <c r="BG39" s="128" t="n"/>
      <c r="BH39" s="58" t="n"/>
      <c r="BI39" s="58">
        <f>BJ39/BH39</f>
        <v/>
      </c>
      <c r="BJ39" s="129" t="n"/>
      <c r="BK39" s="56" t="n"/>
      <c r="BL39" s="56">
        <f>BM39/BK39</f>
        <v/>
      </c>
      <c r="BM39" s="131" t="n"/>
      <c r="BN39" s="58" t="n"/>
      <c r="BO39" s="58">
        <f>BP39/BN39</f>
        <v/>
      </c>
      <c r="BP39" s="129" t="n"/>
      <c r="BQ39" s="55" t="n"/>
      <c r="BR39" s="55">
        <f>BS39/BQ39</f>
        <v/>
      </c>
      <c r="BS39" s="128" t="n"/>
      <c r="BT39" s="58" t="n"/>
      <c r="BU39" s="58">
        <f>BV39/BT39</f>
        <v/>
      </c>
      <c r="BV39" s="129" t="n"/>
      <c r="BW39" s="55" t="n"/>
      <c r="BX39" s="55">
        <f>BY39/BW39</f>
        <v/>
      </c>
      <c r="BY39" s="128" t="n"/>
      <c r="BZ39" s="58" t="n"/>
      <c r="CA39" s="58">
        <f>CB39/BZ39</f>
        <v/>
      </c>
      <c r="CB39" s="129" t="n"/>
      <c r="CC39" s="55" t="n"/>
      <c r="CD39" s="55">
        <f>CE39/CC39</f>
        <v/>
      </c>
      <c r="CE39" s="128" t="n"/>
      <c r="CF39" s="58" t="n"/>
      <c r="CG39" s="58">
        <f>CH39/CF39</f>
        <v/>
      </c>
      <c r="CH39" s="129" t="n"/>
      <c r="CI39" s="55" t="n"/>
      <c r="CJ39" s="55">
        <f>CK39/CI39</f>
        <v/>
      </c>
      <c r="CK39" s="128" t="n"/>
      <c r="CL39" s="58" t="n"/>
      <c r="CM39" s="58">
        <f>CN39/CL39</f>
        <v/>
      </c>
      <c r="CN39" s="129" t="n"/>
      <c r="CO39" s="55" t="n"/>
      <c r="CP39" s="55">
        <f>CQ39/CO39</f>
        <v/>
      </c>
      <c r="CQ39" s="128" t="n"/>
      <c r="CR39" s="58" t="n"/>
      <c r="CS39" s="58">
        <f>CT39/CR39</f>
        <v/>
      </c>
      <c r="CT39" s="129" t="n"/>
      <c r="CU39" s="55" t="n"/>
      <c r="CV39" s="55">
        <f>CW39/CU39</f>
        <v/>
      </c>
      <c r="CW39" s="55" t="n"/>
    </row>
    <row r="40">
      <c r="A40" s="13" t="n">
        <v>38</v>
      </c>
      <c r="B40" s="13" t="inlineStr">
        <is>
          <t>ZC000026</t>
        </is>
      </c>
      <c r="C40" s="13" t="inlineStr">
        <is>
          <t>食品类</t>
        </is>
      </c>
      <c r="D40" s="13" t="inlineStr">
        <is>
          <t>耗油</t>
        </is>
      </c>
      <c r="E40" s="13" t="inlineStr">
        <is>
          <t>瓶</t>
        </is>
      </c>
      <c r="F40" s="6">
        <f>I40+L40+O40+R40+U40+X40+AA40+AD40+AG40+AJ40+AM40+AP40+AS40+AV40+AY40+BB40+BE40+BH40+BK40+BN40+BQ40+BT40+BW40+BZ40+CC40+CF40+CI40+CL40+CO40+CR40+CU40</f>
        <v/>
      </c>
      <c r="G40" s="128">
        <f>H40/F40</f>
        <v/>
      </c>
      <c r="H40" s="6">
        <f>K40+N40+Q40+T40+W40+Z40+AC40+AF40+AI40+AL40+AO40+AR40+AU40+AX40+BA40+BD40+BG40+BJ40+BM40+BP40+BS40+BV40+BY40+CB40+CE40+CH40+CK40+CN40+CQ40+CT40+CW40</f>
        <v/>
      </c>
      <c r="I40" s="55" t="n"/>
      <c r="J40" s="55">
        <f>K40/I40</f>
        <v/>
      </c>
      <c r="K40" s="128" t="n"/>
      <c r="L40" s="56" t="n"/>
      <c r="M40" s="56">
        <f>N40/L40</f>
        <v/>
      </c>
      <c r="N40" s="131" t="n"/>
      <c r="O40" s="55" t="n"/>
      <c r="P40" s="132">
        <f>Q40/O40</f>
        <v/>
      </c>
      <c r="Q40" s="128" t="n"/>
      <c r="R40" s="58" t="n"/>
      <c r="S40" s="58">
        <f>T40/R40</f>
        <v/>
      </c>
      <c r="T40" s="129" t="n"/>
      <c r="U40" s="55" t="n"/>
      <c r="V40" s="55">
        <f>W40/U40</f>
        <v/>
      </c>
      <c r="W40" s="128" t="n"/>
      <c r="X40" s="58" t="n"/>
      <c r="Y40" s="58">
        <f>Z40/X40</f>
        <v/>
      </c>
      <c r="Z40" s="129" t="n"/>
      <c r="AA40" s="55" t="n"/>
      <c r="AB40" s="55">
        <f>AC40/AA40</f>
        <v/>
      </c>
      <c r="AC40" s="128" t="n"/>
      <c r="AD40" s="58" t="n"/>
      <c r="AE40" s="58">
        <f>AF40/AD40</f>
        <v/>
      </c>
      <c r="AF40" s="129" t="n"/>
      <c r="AG40" s="55" t="n"/>
      <c r="AH40" s="55">
        <f>AI40/AG40</f>
        <v/>
      </c>
      <c r="AI40" s="128" t="n"/>
      <c r="AJ40" s="58" t="n"/>
      <c r="AK40" s="58">
        <f>AL40/AJ40</f>
        <v/>
      </c>
      <c r="AL40" s="129" t="n"/>
      <c r="AM40" s="55" t="n"/>
      <c r="AN40" s="55">
        <f>AO40/AM40</f>
        <v/>
      </c>
      <c r="AO40" s="128" t="n"/>
      <c r="AP40" s="58" t="n"/>
      <c r="AQ40" s="58">
        <f>AR40/AP40</f>
        <v/>
      </c>
      <c r="AR40" s="129" t="n"/>
      <c r="AS40" s="55" t="n"/>
      <c r="AT40" s="55">
        <f>AU40/AS40</f>
        <v/>
      </c>
      <c r="AU40" s="128" t="n"/>
      <c r="AV40" s="58" t="n"/>
      <c r="AW40" s="58">
        <f>AX40/AV40</f>
        <v/>
      </c>
      <c r="AX40" s="129" t="n"/>
      <c r="AY40" s="55" t="n"/>
      <c r="AZ40" s="55">
        <f>BA40/AY40</f>
        <v/>
      </c>
      <c r="BA40" s="55" t="n"/>
      <c r="BB40" s="58" t="n"/>
      <c r="BC40" s="58">
        <f>BD40/BB40</f>
        <v/>
      </c>
      <c r="BD40" s="58" t="n"/>
      <c r="BE40" s="55" t="n"/>
      <c r="BF40" s="55">
        <f>BG40/BE40</f>
        <v/>
      </c>
      <c r="BG40" s="128" t="n"/>
      <c r="BH40" s="58" t="n"/>
      <c r="BI40" s="58">
        <f>BJ40/BH40</f>
        <v/>
      </c>
      <c r="BJ40" s="129" t="n"/>
      <c r="BK40" s="56" t="n"/>
      <c r="BL40" s="56">
        <f>BM40/BK40</f>
        <v/>
      </c>
      <c r="BM40" s="131" t="n"/>
      <c r="BN40" s="58" t="n"/>
      <c r="BO40" s="58">
        <f>BP40/BN40</f>
        <v/>
      </c>
      <c r="BP40" s="129" t="n"/>
      <c r="BQ40" s="55" t="n"/>
      <c r="BR40" s="55">
        <f>BS40/BQ40</f>
        <v/>
      </c>
      <c r="BS40" s="128" t="n"/>
      <c r="BT40" s="58" t="n"/>
      <c r="BU40" s="58">
        <f>BV40/BT40</f>
        <v/>
      </c>
      <c r="BV40" s="129" t="n"/>
      <c r="BW40" s="55" t="n"/>
      <c r="BX40" s="55">
        <f>BY40/BW40</f>
        <v/>
      </c>
      <c r="BY40" s="128" t="n"/>
      <c r="BZ40" s="58" t="n"/>
      <c r="CA40" s="58">
        <f>CB40/BZ40</f>
        <v/>
      </c>
      <c r="CB40" s="129" t="n"/>
      <c r="CC40" s="55" t="n"/>
      <c r="CD40" s="55">
        <f>CE40/CC40</f>
        <v/>
      </c>
      <c r="CE40" s="128" t="n"/>
      <c r="CF40" s="58" t="n"/>
      <c r="CG40" s="58">
        <f>CH40/CF40</f>
        <v/>
      </c>
      <c r="CH40" s="129" t="n"/>
      <c r="CI40" s="55" t="n"/>
      <c r="CJ40" s="55">
        <f>CK40/CI40</f>
        <v/>
      </c>
      <c r="CK40" s="128" t="n"/>
      <c r="CL40" s="58" t="n"/>
      <c r="CM40" s="58">
        <f>CN40/CL40</f>
        <v/>
      </c>
      <c r="CN40" s="129" t="n"/>
      <c r="CO40" s="55" t="n"/>
      <c r="CP40" s="55">
        <f>CQ40/CO40</f>
        <v/>
      </c>
      <c r="CQ40" s="128" t="n"/>
      <c r="CR40" s="58" t="n"/>
      <c r="CS40" s="58">
        <f>CT40/CR40</f>
        <v/>
      </c>
      <c r="CT40" s="129" t="n"/>
      <c r="CU40" s="55" t="n"/>
      <c r="CV40" s="55">
        <f>CW40/CU40</f>
        <v/>
      </c>
      <c r="CW40" s="55" t="n"/>
    </row>
    <row r="41">
      <c r="A41" s="13" t="n">
        <v>39</v>
      </c>
      <c r="B41" s="13" t="inlineStr">
        <is>
          <t>YH000013</t>
        </is>
      </c>
      <c r="C41" s="13" t="inlineStr">
        <is>
          <t>易耗品</t>
        </is>
      </c>
      <c r="D41" s="13" t="inlineStr">
        <is>
          <t>一次性勺子</t>
        </is>
      </c>
      <c r="E41" s="13" t="inlineStr">
        <is>
          <t>包</t>
        </is>
      </c>
      <c r="F41" s="6">
        <f>I41+L41+O41+R41+U41+X41+AA41+AD41+AG41+AJ41+AM41+AP41+AS41+AV41+AY41+BB41+BE41+BH41+BK41+BN41+BQ41+BT41+BW41+BZ41+CC41+CF41+CI41+CL41+CO41+CR41+CU41</f>
        <v/>
      </c>
      <c r="G41" s="128">
        <f>H41/F41</f>
        <v/>
      </c>
      <c r="H41" s="6">
        <f>K41+N41+Q41+T41+W41+Z41+AC41+AF41+AI41+AL41+AO41+AR41+AU41+AX41+BA41+BD41+BG41+BJ41+BM41+BP41+BS41+BV41+BY41+CB41+CE41+CH41+CK41+CN41+CQ41+CT41+CW41</f>
        <v/>
      </c>
      <c r="I41" s="55" t="n"/>
      <c r="J41" s="55">
        <f>K41/I41</f>
        <v/>
      </c>
      <c r="K41" s="128" t="n"/>
      <c r="L41" s="56" t="n"/>
      <c r="M41" s="56">
        <f>N41/L41</f>
        <v/>
      </c>
      <c r="N41" s="131" t="n"/>
      <c r="O41" s="55" t="n"/>
      <c r="P41" s="55">
        <f>Q41/O41</f>
        <v/>
      </c>
      <c r="Q41" s="128" t="n"/>
      <c r="R41" s="58" t="n"/>
      <c r="S41" s="58">
        <f>T41/R41</f>
        <v/>
      </c>
      <c r="T41" s="129" t="n"/>
      <c r="U41" s="55" t="n"/>
      <c r="V41" s="55">
        <f>W41/U41</f>
        <v/>
      </c>
      <c r="W41" s="128" t="n"/>
      <c r="X41" s="58" t="n"/>
      <c r="Y41" s="58">
        <f>Z41/X41</f>
        <v/>
      </c>
      <c r="Z41" s="129" t="n"/>
      <c r="AA41" s="55" t="n"/>
      <c r="AB41" s="55">
        <f>AC41/AA41</f>
        <v/>
      </c>
      <c r="AC41" s="128" t="n"/>
      <c r="AD41" s="58" t="n"/>
      <c r="AE41" s="58">
        <f>AF41/AD41</f>
        <v/>
      </c>
      <c r="AF41" s="129" t="n"/>
      <c r="AG41" s="55" t="n"/>
      <c r="AH41" s="55">
        <f>AI41/AG41</f>
        <v/>
      </c>
      <c r="AI41" s="128" t="n"/>
      <c r="AJ41" s="58" t="n"/>
      <c r="AK41" s="58">
        <f>AL41/AJ41</f>
        <v/>
      </c>
      <c r="AL41" s="129" t="n"/>
      <c r="AM41" s="55" t="n"/>
      <c r="AN41" s="55">
        <f>AO41/AM41</f>
        <v/>
      </c>
      <c r="AO41" s="128" t="n"/>
      <c r="AP41" s="58" t="n"/>
      <c r="AQ41" s="58">
        <f>AR41/AP41</f>
        <v/>
      </c>
      <c r="AR41" s="129" t="n"/>
      <c r="AS41" s="55" t="n"/>
      <c r="AT41" s="55">
        <f>AU41/AS41</f>
        <v/>
      </c>
      <c r="AU41" s="128" t="n"/>
      <c r="AV41" s="58" t="n"/>
      <c r="AW41" s="58">
        <f>AX41/AV41</f>
        <v/>
      </c>
      <c r="AX41" s="129" t="n"/>
      <c r="AY41" s="55" t="n"/>
      <c r="AZ41" s="55">
        <f>BA41/AY41</f>
        <v/>
      </c>
      <c r="BA41" s="55" t="n"/>
      <c r="BB41" s="58" t="n"/>
      <c r="BC41" s="58">
        <f>BD41/BB41</f>
        <v/>
      </c>
      <c r="BD41" s="58" t="n"/>
      <c r="BE41" s="55" t="n"/>
      <c r="BF41" s="55">
        <f>BG41/BE41</f>
        <v/>
      </c>
      <c r="BG41" s="128" t="n"/>
      <c r="BH41" s="58" t="n"/>
      <c r="BI41" s="58">
        <f>BJ41/BH41</f>
        <v/>
      </c>
      <c r="BJ41" s="129" t="n"/>
      <c r="BK41" s="56" t="n"/>
      <c r="BL41" s="56">
        <f>BM41/BK41</f>
        <v/>
      </c>
      <c r="BM41" s="131" t="n"/>
      <c r="BN41" s="58" t="n"/>
      <c r="BO41" s="58">
        <f>BP41/BN41</f>
        <v/>
      </c>
      <c r="BP41" s="129" t="n"/>
      <c r="BQ41" s="55" t="n"/>
      <c r="BR41" s="55">
        <f>BS41/BQ41</f>
        <v/>
      </c>
      <c r="BS41" s="128" t="n"/>
      <c r="BT41" s="58" t="n"/>
      <c r="BU41" s="58">
        <f>BV41/BT41</f>
        <v/>
      </c>
      <c r="BV41" s="129" t="n"/>
      <c r="BW41" s="55" t="n"/>
      <c r="BX41" s="55">
        <f>BY41/BW41</f>
        <v/>
      </c>
      <c r="BY41" s="128" t="n"/>
      <c r="BZ41" s="58" t="n"/>
      <c r="CA41" s="58">
        <f>CB41/BZ41</f>
        <v/>
      </c>
      <c r="CB41" s="129" t="n"/>
      <c r="CC41" s="55" t="n"/>
      <c r="CD41" s="55">
        <f>CE41/CC41</f>
        <v/>
      </c>
      <c r="CE41" s="128" t="n"/>
      <c r="CF41" s="58" t="n"/>
      <c r="CG41" s="58">
        <f>CH41/CF41</f>
        <v/>
      </c>
      <c r="CH41" s="129" t="n"/>
      <c r="CI41" s="55" t="n"/>
      <c r="CJ41" s="55">
        <f>CK41/CI41</f>
        <v/>
      </c>
      <c r="CK41" s="128" t="n"/>
      <c r="CL41" s="58" t="n"/>
      <c r="CM41" s="58">
        <f>CN41/CL41</f>
        <v/>
      </c>
      <c r="CN41" s="129" t="n"/>
      <c r="CO41" s="55" t="n"/>
      <c r="CP41" s="55">
        <f>CQ41/CO41</f>
        <v/>
      </c>
      <c r="CQ41" s="128" t="n"/>
      <c r="CR41" s="58" t="n"/>
      <c r="CS41" s="58">
        <f>CT41/CR41</f>
        <v/>
      </c>
      <c r="CT41" s="129" t="n"/>
      <c r="CU41" s="55" t="n"/>
      <c r="CV41" s="55">
        <f>CW41/CU41</f>
        <v/>
      </c>
      <c r="CW41" s="55" t="n"/>
    </row>
    <row r="42">
      <c r="A42" s="13" t="n">
        <v>40</v>
      </c>
      <c r="B42" s="13" t="inlineStr">
        <is>
          <t>YH000014</t>
        </is>
      </c>
      <c r="C42" s="13" t="inlineStr">
        <is>
          <t>易耗品</t>
        </is>
      </c>
      <c r="D42" s="13" t="inlineStr">
        <is>
          <t>PVC手套</t>
        </is>
      </c>
      <c r="E42" s="13" t="inlineStr">
        <is>
          <t>盒</t>
        </is>
      </c>
      <c r="F42" s="6">
        <f>I42+L42+O42+R42+U42+X42+AA42+AD42+AG42+AJ42+AM42+AP42+AS42+AV42+AY42+BB42+BE42+BH42+BK42+BN42+BQ42+BT42+BW42+BZ42+CC42+CF42+CI42+CL42+CO42+CR42+CU42</f>
        <v/>
      </c>
      <c r="G42" s="128">
        <f>H42/F42</f>
        <v/>
      </c>
      <c r="H42" s="6">
        <f>K42+N42+Q42+T42+W42+Z42+AC42+AF42+AI42+AL42+AO42+AR42+AU42+AX42+BA42+BD42+BG42+BJ42+BM42+BP42+BS42+BV42+BY42+CB42+CE42+CH42+CK42+CN42+CQ42+CT42+CW42</f>
        <v/>
      </c>
      <c r="I42" s="55" t="n"/>
      <c r="J42" s="55">
        <f>K42/I42</f>
        <v/>
      </c>
      <c r="K42" s="128" t="n"/>
      <c r="L42" s="56" t="n"/>
      <c r="M42" s="56">
        <f>N42/L42</f>
        <v/>
      </c>
      <c r="N42" s="131" t="n"/>
      <c r="O42" s="55" t="n"/>
      <c r="P42" s="132">
        <f>Q42/O42</f>
        <v/>
      </c>
      <c r="Q42" s="128" t="n"/>
      <c r="R42" s="58" t="n"/>
      <c r="S42" s="58">
        <f>T42/R42</f>
        <v/>
      </c>
      <c r="T42" s="129" t="n"/>
      <c r="U42" s="55" t="n"/>
      <c r="V42" s="55">
        <f>W42/U42</f>
        <v/>
      </c>
      <c r="W42" s="128" t="n"/>
      <c r="X42" s="58" t="n"/>
      <c r="Y42" s="58">
        <f>Z42/X42</f>
        <v/>
      </c>
      <c r="Z42" s="129" t="n"/>
      <c r="AA42" s="55" t="n"/>
      <c r="AB42" s="55">
        <f>AC42/AA42</f>
        <v/>
      </c>
      <c r="AC42" s="128" t="n"/>
      <c r="AD42" s="58" t="n"/>
      <c r="AE42" s="58">
        <f>AF42/AD42</f>
        <v/>
      </c>
      <c r="AF42" s="129" t="n"/>
      <c r="AG42" s="55" t="n"/>
      <c r="AH42" s="55">
        <f>AI42/AG42</f>
        <v/>
      </c>
      <c r="AI42" s="128" t="n"/>
      <c r="AJ42" s="58" t="n"/>
      <c r="AK42" s="58">
        <f>AL42/AJ42</f>
        <v/>
      </c>
      <c r="AL42" s="129" t="n"/>
      <c r="AM42" s="55" t="n"/>
      <c r="AN42" s="55">
        <f>AO42/AM42</f>
        <v/>
      </c>
      <c r="AO42" s="128" t="n"/>
      <c r="AP42" s="58" t="n"/>
      <c r="AQ42" s="58">
        <f>AR42/AP42</f>
        <v/>
      </c>
      <c r="AR42" s="129" t="n"/>
      <c r="AS42" s="55" t="n"/>
      <c r="AT42" s="55">
        <f>AU42/AS42</f>
        <v/>
      </c>
      <c r="AU42" s="128" t="n"/>
      <c r="AV42" s="58" t="n"/>
      <c r="AW42" s="58">
        <f>AX42/AV42</f>
        <v/>
      </c>
      <c r="AX42" s="129" t="n"/>
      <c r="AY42" s="55" t="n"/>
      <c r="AZ42" s="55">
        <f>BA42/AY42</f>
        <v/>
      </c>
      <c r="BA42" s="55" t="n"/>
      <c r="BB42" s="58" t="n"/>
      <c r="BC42" s="58">
        <f>BD42/BB42</f>
        <v/>
      </c>
      <c r="BD42" s="58" t="n"/>
      <c r="BE42" s="55" t="n"/>
      <c r="BF42" s="55">
        <f>BG42/BE42</f>
        <v/>
      </c>
      <c r="BG42" s="128" t="n"/>
      <c r="BH42" s="58" t="n"/>
      <c r="BI42" s="58">
        <f>BJ42/BH42</f>
        <v/>
      </c>
      <c r="BJ42" s="129" t="n"/>
      <c r="BK42" s="56" t="n"/>
      <c r="BL42" s="56">
        <f>BM42/BK42</f>
        <v/>
      </c>
      <c r="BM42" s="131" t="n"/>
      <c r="BN42" s="58" t="n"/>
      <c r="BO42" s="58">
        <f>BP42/BN42</f>
        <v/>
      </c>
      <c r="BP42" s="129" t="n"/>
      <c r="BQ42" s="55" t="n"/>
      <c r="BR42" s="55">
        <f>BS42/BQ42</f>
        <v/>
      </c>
      <c r="BS42" s="128" t="n"/>
      <c r="BT42" s="58" t="n"/>
      <c r="BU42" s="58">
        <f>BV42/BT42</f>
        <v/>
      </c>
      <c r="BV42" s="129" t="n"/>
      <c r="BW42" s="55" t="n"/>
      <c r="BX42" s="55">
        <f>BY42/BW42</f>
        <v/>
      </c>
      <c r="BY42" s="128" t="n"/>
      <c r="BZ42" s="58" t="n"/>
      <c r="CA42" s="58">
        <f>CB42/BZ42</f>
        <v/>
      </c>
      <c r="CB42" s="129" t="n"/>
      <c r="CC42" s="55" t="n"/>
      <c r="CD42" s="55">
        <f>CE42/CC42</f>
        <v/>
      </c>
      <c r="CE42" s="128" t="n"/>
      <c r="CF42" s="58" t="n"/>
      <c r="CG42" s="58">
        <f>CH42/CF42</f>
        <v/>
      </c>
      <c r="CH42" s="129" t="n"/>
      <c r="CI42" s="55" t="n"/>
      <c r="CJ42" s="55">
        <f>CK42/CI42</f>
        <v/>
      </c>
      <c r="CK42" s="128" t="n"/>
      <c r="CL42" s="58" t="n"/>
      <c r="CM42" s="58">
        <f>CN42/CL42</f>
        <v/>
      </c>
      <c r="CN42" s="129" t="n"/>
      <c r="CO42" s="55" t="n"/>
      <c r="CP42" s="55">
        <f>CQ42/CO42</f>
        <v/>
      </c>
      <c r="CQ42" s="128" t="n"/>
      <c r="CR42" s="58" t="n"/>
      <c r="CS42" s="58">
        <f>CT42/CR42</f>
        <v/>
      </c>
      <c r="CT42" s="129" t="n"/>
      <c r="CU42" s="55" t="n"/>
      <c r="CV42" s="55">
        <f>CW42/CU42</f>
        <v/>
      </c>
      <c r="CW42" s="55" t="n"/>
    </row>
    <row r="43" ht="15" customHeight="1" s="3">
      <c r="A43" s="13" t="n">
        <v>41</v>
      </c>
      <c r="B43" s="13" t="inlineStr">
        <is>
          <t>YH000015</t>
        </is>
      </c>
      <c r="C43" s="13" t="inlineStr">
        <is>
          <t>易耗品</t>
        </is>
      </c>
      <c r="D43" s="13" t="inlineStr">
        <is>
          <t>洗涤剂2桶/袋</t>
        </is>
      </c>
      <c r="E43" s="13" t="inlineStr">
        <is>
          <t>袋</t>
        </is>
      </c>
      <c r="F43" s="6">
        <f>I43+L43+O43+R43+U43+X43+AA43+AD43+AG43+AJ43+AM43+AP43+AS43+AV43+AY43+BB43+BE43+BH43+BK43+BN43+BQ43+BT43+BW43+BZ43+CC43+CF43+CI43+CL43+CO43+CR43+CU43</f>
        <v/>
      </c>
      <c r="G43" s="128">
        <f>H43/F43</f>
        <v/>
      </c>
      <c r="H43" s="6">
        <f>K43+N43+Q43+T43+W43+Z43+AC43+AF43+AI43+AL43+AO43+AR43+AU43+AX43+BA43+BD43+BG43+BJ43+BM43+BP43+BS43+BV43+BY43+CB43+CE43+CH43+CK43+CN43+CQ43+CT43+CW43</f>
        <v/>
      </c>
      <c r="I43" s="55" t="n"/>
      <c r="J43" s="55">
        <f>K43/I43</f>
        <v/>
      </c>
      <c r="K43" s="128" t="n"/>
      <c r="L43" s="56" t="n"/>
      <c r="M43" s="56">
        <f>N43/L43</f>
        <v/>
      </c>
      <c r="N43" s="131" t="n"/>
      <c r="O43" s="55" t="n"/>
      <c r="P43" s="55">
        <f>Q43/O43</f>
        <v/>
      </c>
      <c r="Q43" s="128" t="n"/>
      <c r="R43" s="58" t="n"/>
      <c r="S43" s="58">
        <f>T43/R43</f>
        <v/>
      </c>
      <c r="T43" s="129" t="n"/>
      <c r="U43" s="55" t="n"/>
      <c r="V43" s="55">
        <f>W43/U43</f>
        <v/>
      </c>
      <c r="W43" s="128" t="n"/>
      <c r="X43" s="58" t="n"/>
      <c r="Y43" s="58">
        <f>Z43/X43</f>
        <v/>
      </c>
      <c r="Z43" s="129" t="n"/>
      <c r="AA43" s="55" t="n"/>
      <c r="AB43" s="55">
        <f>AC43/AA43</f>
        <v/>
      </c>
      <c r="AC43" s="128" t="n"/>
      <c r="AD43" s="58" t="n"/>
      <c r="AE43" s="58">
        <f>AF43/AD43</f>
        <v/>
      </c>
      <c r="AF43" s="129" t="n"/>
      <c r="AG43" s="55" t="n"/>
      <c r="AH43" s="55">
        <f>AI43/AG43</f>
        <v/>
      </c>
      <c r="AI43" s="128" t="n"/>
      <c r="AJ43" s="58" t="n"/>
      <c r="AK43" s="58">
        <f>AL43/AJ43</f>
        <v/>
      </c>
      <c r="AL43" s="129" t="n"/>
      <c r="AM43" s="55" t="n"/>
      <c r="AN43" s="55">
        <f>AO43/AM43</f>
        <v/>
      </c>
      <c r="AO43" s="128" t="n"/>
      <c r="AP43" s="58" t="n"/>
      <c r="AQ43" s="58">
        <f>AR43/AP43</f>
        <v/>
      </c>
      <c r="AR43" s="129" t="n"/>
      <c r="AS43" s="55" t="n"/>
      <c r="AT43" s="55">
        <f>AU43/AS43</f>
        <v/>
      </c>
      <c r="AU43" s="128" t="n"/>
      <c r="AV43" s="58" t="n"/>
      <c r="AW43" s="58">
        <f>AX43/AV43</f>
        <v/>
      </c>
      <c r="AX43" s="129" t="n"/>
      <c r="AY43" s="55" t="n"/>
      <c r="AZ43" s="55">
        <f>BA43/AY43</f>
        <v/>
      </c>
      <c r="BA43" s="55" t="n"/>
      <c r="BB43" s="58" t="n"/>
      <c r="BC43" s="58">
        <f>BD43/BB43</f>
        <v/>
      </c>
      <c r="BD43" s="58" t="n"/>
      <c r="BE43" s="55" t="n"/>
      <c r="BF43" s="55">
        <f>BG43/BE43</f>
        <v/>
      </c>
      <c r="BG43" s="128" t="n"/>
      <c r="BH43" s="58" t="n"/>
      <c r="BI43" s="58">
        <f>BJ43/BH43</f>
        <v/>
      </c>
      <c r="BJ43" s="129" t="n"/>
      <c r="BK43" s="56" t="n"/>
      <c r="BL43" s="56">
        <f>BM43/BK43</f>
        <v/>
      </c>
      <c r="BM43" s="131" t="n"/>
      <c r="BN43" s="58" t="n"/>
      <c r="BO43" s="58">
        <f>BP43/BN43</f>
        <v/>
      </c>
      <c r="BP43" s="129" t="n"/>
      <c r="BQ43" s="55" t="n"/>
      <c r="BR43" s="55">
        <f>BS43/BQ43</f>
        <v/>
      </c>
      <c r="BS43" s="128" t="n"/>
      <c r="BT43" s="58" t="n"/>
      <c r="BU43" s="58">
        <f>BV43/BT43</f>
        <v/>
      </c>
      <c r="BV43" s="129" t="n"/>
      <c r="BW43" s="55" t="n"/>
      <c r="BX43" s="55">
        <f>BY43/BW43</f>
        <v/>
      </c>
      <c r="BY43" s="128" t="n"/>
      <c r="BZ43" s="58" t="n"/>
      <c r="CA43" s="58">
        <f>CB43/BZ43</f>
        <v/>
      </c>
      <c r="CB43" s="129" t="n"/>
      <c r="CC43" s="55" t="n"/>
      <c r="CD43" s="55">
        <f>CE43/CC43</f>
        <v/>
      </c>
      <c r="CE43" s="128" t="n"/>
      <c r="CF43" s="58" t="n"/>
      <c r="CG43" s="58">
        <f>CH43/CF43</f>
        <v/>
      </c>
      <c r="CH43" s="129" t="n"/>
      <c r="CI43" s="55" t="n"/>
      <c r="CJ43" s="55">
        <f>CK43/CI43</f>
        <v/>
      </c>
      <c r="CK43" s="128" t="n"/>
      <c r="CL43" s="58" t="n"/>
      <c r="CM43" s="58">
        <f>CN43/CL43</f>
        <v/>
      </c>
      <c r="CN43" s="129" t="n"/>
      <c r="CO43" s="55" t="n"/>
      <c r="CP43" s="55">
        <f>CQ43/CO43</f>
        <v/>
      </c>
      <c r="CQ43" s="128" t="n"/>
      <c r="CR43" s="58" t="n"/>
      <c r="CS43" s="58">
        <f>CT43/CR43</f>
        <v/>
      </c>
      <c r="CT43" s="129" t="n"/>
      <c r="CU43" s="55" t="n"/>
      <c r="CV43" s="55">
        <f>CW43/CU43</f>
        <v/>
      </c>
      <c r="CW43" s="55" t="n"/>
    </row>
    <row r="44" ht="13" customFormat="1" customHeight="1" s="46">
      <c r="A44" s="42" t="n">
        <v>42</v>
      </c>
      <c r="B44" s="42" t="inlineStr">
        <is>
          <t>ZC000027</t>
        </is>
      </c>
      <c r="C44" s="42" t="inlineStr">
        <is>
          <t>食品类</t>
        </is>
      </c>
      <c r="D44" s="42" t="inlineStr">
        <is>
          <t>鸡毛菜</t>
        </is>
      </c>
      <c r="E44" s="42" t="inlineStr">
        <is>
          <t>斤</t>
        </is>
      </c>
      <c r="F44" s="61" t="n">
        <v>0</v>
      </c>
      <c r="G44" s="133">
        <f>H44/F44</f>
        <v/>
      </c>
      <c r="H44" s="61" t="n">
        <v>0</v>
      </c>
      <c r="I44" s="63" t="n"/>
      <c r="J44" s="63">
        <f>K44/I44</f>
        <v/>
      </c>
      <c r="K44" s="133" t="n"/>
      <c r="L44" s="56" t="n"/>
      <c r="M44" s="56">
        <f>N44/L44</f>
        <v/>
      </c>
      <c r="N44" s="131" t="n"/>
      <c r="O44" s="63" t="n"/>
      <c r="P44" s="134">
        <f>Q44/O44</f>
        <v/>
      </c>
      <c r="Q44" s="133" t="n"/>
      <c r="R44" s="58" t="n"/>
      <c r="S44" s="58">
        <f>T44/R44</f>
        <v/>
      </c>
      <c r="T44" s="129" t="n"/>
      <c r="U44" s="63" t="n"/>
      <c r="V44" s="63">
        <f>W44/U44</f>
        <v/>
      </c>
      <c r="W44" s="133" t="n"/>
      <c r="X44" s="58" t="n"/>
      <c r="Y44" s="58">
        <f>Z44/X44</f>
        <v/>
      </c>
      <c r="Z44" s="129" t="n"/>
      <c r="AA44" s="63" t="n"/>
      <c r="AB44" s="63">
        <f>AC44/AA44</f>
        <v/>
      </c>
      <c r="AC44" s="133" t="n"/>
      <c r="AD44" s="58" t="n"/>
      <c r="AE44" s="58">
        <f>AF44/AD44</f>
        <v/>
      </c>
      <c r="AF44" s="129" t="n"/>
      <c r="AG44" s="63" t="n"/>
      <c r="AH44" s="63">
        <f>AI44/AG44</f>
        <v/>
      </c>
      <c r="AI44" s="133" t="n"/>
      <c r="AJ44" s="58" t="n"/>
      <c r="AK44" s="58">
        <f>AL44/AJ44</f>
        <v/>
      </c>
      <c r="AL44" s="129" t="n"/>
      <c r="AM44" s="63" t="n"/>
      <c r="AN44" s="63">
        <f>AO44/AM44</f>
        <v/>
      </c>
      <c r="AO44" s="133" t="n"/>
      <c r="AP44" s="58" t="n"/>
      <c r="AQ44" s="58">
        <f>AR44/AP44</f>
        <v/>
      </c>
      <c r="AR44" s="129" t="n"/>
      <c r="AS44" s="63" t="n">
        <v>5.8</v>
      </c>
      <c r="AT44" s="63">
        <f>AU44/AS44</f>
        <v/>
      </c>
      <c r="AU44" s="133" t="n">
        <v>28</v>
      </c>
      <c r="AV44" s="58" t="n"/>
      <c r="AW44" s="58">
        <f>AX44/AV44</f>
        <v/>
      </c>
      <c r="AX44" s="129" t="n"/>
      <c r="AY44" s="63" t="n"/>
      <c r="AZ44" s="63">
        <f>BA44/AY44</f>
        <v/>
      </c>
      <c r="BA44" s="63" t="n"/>
      <c r="BB44" s="58" t="n"/>
      <c r="BC44" s="58">
        <f>BD44/BB44</f>
        <v/>
      </c>
      <c r="BD44" s="58" t="n"/>
      <c r="BE44" s="63" t="n"/>
      <c r="BF44" s="63">
        <f>BG44/BE44</f>
        <v/>
      </c>
      <c r="BG44" s="133" t="n"/>
      <c r="BH44" s="58" t="n"/>
      <c r="BI44" s="58">
        <f>BJ44/BH44</f>
        <v/>
      </c>
      <c r="BJ44" s="129" t="n"/>
      <c r="BK44" s="56" t="n"/>
      <c r="BL44" s="56">
        <f>BM44/BK44</f>
        <v/>
      </c>
      <c r="BM44" s="131" t="n"/>
      <c r="BN44" s="58" t="n"/>
      <c r="BO44" s="58">
        <f>BP44/BN44</f>
        <v/>
      </c>
      <c r="BP44" s="129" t="n"/>
      <c r="BQ44" s="63" t="n"/>
      <c r="BR44" s="63">
        <f>BS44/BQ44</f>
        <v/>
      </c>
      <c r="BS44" s="133" t="n"/>
      <c r="BT44" s="58" t="n"/>
      <c r="BU44" s="58">
        <f>BV44/BT44</f>
        <v/>
      </c>
      <c r="BV44" s="129" t="n"/>
      <c r="BW44" s="63" t="n"/>
      <c r="BX44" s="63">
        <f>BY44/BW44</f>
        <v/>
      </c>
      <c r="BY44" s="133" t="n"/>
      <c r="BZ44" s="58" t="n"/>
      <c r="CA44" s="58">
        <f>CB44/BZ44</f>
        <v/>
      </c>
      <c r="CB44" s="129" t="n"/>
      <c r="CC44" s="63" t="n"/>
      <c r="CD44" s="63">
        <f>CE44/CC44</f>
        <v/>
      </c>
      <c r="CE44" s="133" t="n"/>
      <c r="CF44" s="58" t="n"/>
      <c r="CG44" s="58">
        <f>CH44/CF44</f>
        <v/>
      </c>
      <c r="CH44" s="129" t="n"/>
      <c r="CI44" s="63" t="n"/>
      <c r="CJ44" s="63">
        <f>CK44/CI44</f>
        <v/>
      </c>
      <c r="CK44" s="133" t="n"/>
      <c r="CL44" s="58" t="n"/>
      <c r="CM44" s="58">
        <f>CN44/CL44</f>
        <v/>
      </c>
      <c r="CN44" s="129" t="n"/>
      <c r="CO44" s="63" t="n"/>
      <c r="CP44" s="63">
        <f>CQ44/CO44</f>
        <v/>
      </c>
      <c r="CQ44" s="133" t="n"/>
      <c r="CR44" s="58" t="n"/>
      <c r="CS44" s="58">
        <f>CT44/CR44</f>
        <v/>
      </c>
      <c r="CT44" s="129" t="n"/>
      <c r="CU44" s="63" t="n"/>
      <c r="CV44" s="63">
        <f>CW44/CU44</f>
        <v/>
      </c>
      <c r="CW44" s="63" t="n"/>
    </row>
    <row r="45">
      <c r="A45" s="13" t="n">
        <v>43</v>
      </c>
      <c r="B45" s="13" t="inlineStr">
        <is>
          <t>ZC000028</t>
        </is>
      </c>
      <c r="C45" s="13" t="inlineStr">
        <is>
          <t>食品类</t>
        </is>
      </c>
      <c r="D45" s="13" t="inlineStr">
        <is>
          <t>特级白胡椒粉</t>
        </is>
      </c>
      <c r="E45" s="13" t="inlineStr">
        <is>
          <t>斤</t>
        </is>
      </c>
      <c r="F45" s="6">
        <f>I45+L45+O45+R45+U45+X45+AA45+AD45+AG45+AJ45+AM45+AP45+AS45+AV45+AY45+BB45+BE45+BH45+BK45+BN45+BQ45+BT45+BW45+BZ45+CC45+CF45+CI45+CL45+CO45+CR45+CU45</f>
        <v/>
      </c>
      <c r="G45" s="128">
        <f>H45/F45</f>
        <v/>
      </c>
      <c r="H45" s="6">
        <f>K45+N45+Q45+T45+W45+Z45+AC45+AF45+AI45+AL45+AO45+AR45+AU45+AX45+BA45+BD45+BG45+BJ45+BM45+BP45+BS45+BV45+BY45+CB45+CE45+CH45+CK45+CN45+CQ45+CT45+CW45</f>
        <v/>
      </c>
      <c r="I45" s="55" t="n"/>
      <c r="J45" s="55">
        <f>K45/I45</f>
        <v/>
      </c>
      <c r="K45" s="128" t="n"/>
      <c r="L45" s="56" t="n"/>
      <c r="M45" s="56">
        <f>N45/L45</f>
        <v/>
      </c>
      <c r="N45" s="131" t="n"/>
      <c r="O45" s="55" t="n"/>
      <c r="P45" s="55">
        <f>Q45/O45</f>
        <v/>
      </c>
      <c r="Q45" s="128" t="n"/>
      <c r="R45" s="58" t="n"/>
      <c r="S45" s="58">
        <f>T45/R45</f>
        <v/>
      </c>
      <c r="T45" s="129" t="n"/>
      <c r="U45" s="55" t="n"/>
      <c r="V45" s="55">
        <f>W45/U45</f>
        <v/>
      </c>
      <c r="W45" s="128" t="n"/>
      <c r="X45" s="58" t="n"/>
      <c r="Y45" s="58">
        <f>Z45/X45</f>
        <v/>
      </c>
      <c r="Z45" s="129" t="n"/>
      <c r="AA45" s="55" t="n"/>
      <c r="AB45" s="55">
        <f>AC45/AA45</f>
        <v/>
      </c>
      <c r="AC45" s="128" t="n"/>
      <c r="AD45" s="58" t="n"/>
      <c r="AE45" s="58">
        <f>AF45/AD45</f>
        <v/>
      </c>
      <c r="AF45" s="129" t="n"/>
      <c r="AG45" s="55" t="n"/>
      <c r="AH45" s="55">
        <f>AI45/AG45</f>
        <v/>
      </c>
      <c r="AI45" s="128" t="n"/>
      <c r="AJ45" s="58" t="n"/>
      <c r="AK45" s="58">
        <f>AL45/AJ45</f>
        <v/>
      </c>
      <c r="AL45" s="129" t="n"/>
      <c r="AM45" s="55" t="n"/>
      <c r="AN45" s="55">
        <f>AO45/AM45</f>
        <v/>
      </c>
      <c r="AO45" s="128" t="n"/>
      <c r="AP45" s="58" t="n"/>
      <c r="AQ45" s="58">
        <f>AR45/AP45</f>
        <v/>
      </c>
      <c r="AR45" s="129" t="n"/>
      <c r="AS45" s="55" t="n"/>
      <c r="AT45" s="55">
        <f>AU45/AS45</f>
        <v/>
      </c>
      <c r="AU45" s="128" t="n"/>
      <c r="AV45" s="58" t="n"/>
      <c r="AW45" s="58">
        <f>AX45/AV45</f>
        <v/>
      </c>
      <c r="AX45" s="129" t="n"/>
      <c r="AY45" s="55" t="n"/>
      <c r="AZ45" s="55">
        <f>BA45/AY45</f>
        <v/>
      </c>
      <c r="BA45" s="55" t="n"/>
      <c r="BB45" s="58" t="n"/>
      <c r="BC45" s="58">
        <f>BD45/BB45</f>
        <v/>
      </c>
      <c r="BD45" s="58" t="n"/>
      <c r="BE45" s="55" t="n"/>
      <c r="BF45" s="55">
        <f>BG45/BE45</f>
        <v/>
      </c>
      <c r="BG45" s="128" t="n"/>
      <c r="BH45" s="58" t="n"/>
      <c r="BI45" s="58">
        <f>BJ45/BH45</f>
        <v/>
      </c>
      <c r="BJ45" s="129" t="n"/>
      <c r="BK45" s="56" t="n"/>
      <c r="BL45" s="56">
        <f>BM45/BK45</f>
        <v/>
      </c>
      <c r="BM45" s="131" t="n"/>
      <c r="BN45" s="58" t="n"/>
      <c r="BO45" s="58">
        <f>BP45/BN45</f>
        <v/>
      </c>
      <c r="BP45" s="129" t="n"/>
      <c r="BQ45" s="55" t="n"/>
      <c r="BR45" s="55">
        <f>BS45/BQ45</f>
        <v/>
      </c>
      <c r="BS45" s="128" t="n"/>
      <c r="BT45" s="58" t="n"/>
      <c r="BU45" s="58">
        <f>BV45/BT45</f>
        <v/>
      </c>
      <c r="BV45" s="129" t="n"/>
      <c r="BW45" s="55" t="n"/>
      <c r="BX45" s="55">
        <f>BY45/BW45</f>
        <v/>
      </c>
      <c r="BY45" s="128" t="n"/>
      <c r="BZ45" s="58" t="n"/>
      <c r="CA45" s="58">
        <f>CB45/BZ45</f>
        <v/>
      </c>
      <c r="CB45" s="129" t="n"/>
      <c r="CC45" s="55" t="n"/>
      <c r="CD45" s="55">
        <f>CE45/CC45</f>
        <v/>
      </c>
      <c r="CE45" s="128" t="n"/>
      <c r="CF45" s="58" t="n"/>
      <c r="CG45" s="58">
        <f>CH45/CF45</f>
        <v/>
      </c>
      <c r="CH45" s="129" t="n"/>
      <c r="CI45" s="55" t="n"/>
      <c r="CJ45" s="55">
        <f>CK45/CI45</f>
        <v/>
      </c>
      <c r="CK45" s="128" t="n"/>
      <c r="CL45" s="58" t="n"/>
      <c r="CM45" s="58">
        <f>CN45/CL45</f>
        <v/>
      </c>
      <c r="CN45" s="129" t="n"/>
      <c r="CO45" s="55" t="n"/>
      <c r="CP45" s="55">
        <f>CQ45/CO45</f>
        <v/>
      </c>
      <c r="CQ45" s="128" t="n"/>
      <c r="CR45" s="58" t="n"/>
      <c r="CS45" s="58">
        <f>CT45/CR45</f>
        <v/>
      </c>
      <c r="CT45" s="129" t="n"/>
      <c r="CU45" s="55" t="n"/>
      <c r="CV45" s="55">
        <f>CW45/CU45</f>
        <v/>
      </c>
      <c r="CW45" s="55" t="n"/>
    </row>
    <row r="46">
      <c r="A46" s="13" t="n">
        <v>44</v>
      </c>
      <c r="B46" s="13" t="inlineStr">
        <is>
          <t>ZC000029</t>
        </is>
      </c>
      <c r="C46" s="13" t="inlineStr">
        <is>
          <t>食品类</t>
        </is>
      </c>
      <c r="D46" s="13" t="inlineStr">
        <is>
          <t>蒜头</t>
        </is>
      </c>
      <c r="E46" s="13" t="inlineStr">
        <is>
          <t>斤</t>
        </is>
      </c>
      <c r="F46" s="6">
        <f>I46+L46+O46+R46+U46+X46+AA46+AD46+AG46+AJ46+AM46+AP46+AS46+AV46+AY46+BB46+BE46+BH46+BK46+BN46+BQ46+BT46+BW46+BZ46+CC46+CF46+CI46+CL46+CO46+CR46+CU46</f>
        <v/>
      </c>
      <c r="G46" s="128">
        <f>H46/F46</f>
        <v/>
      </c>
      <c r="H46" s="6">
        <f>K46+N46+Q46+T46+W46+Z46+AC46+AF46+AI46+AL46+AO46+AR46+AU46+AX46+BA46+BD46+BG46+BJ46+BM46+BP46+BS46+BV46+BY46+CB46+CE46+CH46+CK46+CN46+CQ46+CT46+CW46</f>
        <v/>
      </c>
      <c r="I46" s="55" t="n"/>
      <c r="J46" s="55" t="n"/>
      <c r="K46" s="128" t="n"/>
      <c r="L46" s="56" t="n"/>
      <c r="M46" s="56">
        <f>N46/L46</f>
        <v/>
      </c>
      <c r="N46" s="131" t="n"/>
      <c r="O46" s="55" t="n"/>
      <c r="P46" s="132">
        <f>Q46/O46</f>
        <v/>
      </c>
      <c r="Q46" s="128" t="n"/>
      <c r="R46" s="58" t="n"/>
      <c r="S46" s="58">
        <f>T46/R46</f>
        <v/>
      </c>
      <c r="T46" s="129" t="n"/>
      <c r="U46" s="55" t="n"/>
      <c r="V46" s="55">
        <f>W46/U46</f>
        <v/>
      </c>
      <c r="W46" s="128" t="n"/>
      <c r="X46" s="58" t="n"/>
      <c r="Y46" s="58">
        <f>Z46/X46</f>
        <v/>
      </c>
      <c r="Z46" s="129" t="n"/>
      <c r="AA46" s="55" t="n"/>
      <c r="AB46" s="55">
        <f>AC46/AA46</f>
        <v/>
      </c>
      <c r="AC46" s="128" t="n"/>
      <c r="AD46" s="58" t="n"/>
      <c r="AE46" s="58">
        <f>AF46/AD46</f>
        <v/>
      </c>
      <c r="AF46" s="129" t="n"/>
      <c r="AG46" s="55" t="n"/>
      <c r="AH46" s="55">
        <f>AI46/AG46</f>
        <v/>
      </c>
      <c r="AI46" s="128" t="n"/>
      <c r="AJ46" s="58" t="n"/>
      <c r="AK46" s="58">
        <f>AL46/AJ46</f>
        <v/>
      </c>
      <c r="AL46" s="129" t="n"/>
      <c r="AM46" s="55" t="n"/>
      <c r="AN46" s="55">
        <f>AO46/AM46</f>
        <v/>
      </c>
      <c r="AO46" s="128" t="n"/>
      <c r="AP46" s="58" t="n">
        <v>3</v>
      </c>
      <c r="AQ46" s="58">
        <f>AR46/AP46</f>
        <v/>
      </c>
      <c r="AR46" s="129" t="n">
        <v>18</v>
      </c>
      <c r="AS46" s="55" t="n"/>
      <c r="AT46" s="55">
        <f>AU46/AS46</f>
        <v/>
      </c>
      <c r="AU46" s="128" t="n"/>
      <c r="AV46" s="58" t="n"/>
      <c r="AW46" s="58">
        <f>AX46/AV46</f>
        <v/>
      </c>
      <c r="AX46" s="129" t="n"/>
      <c r="AY46" s="55" t="n"/>
      <c r="AZ46" s="55">
        <f>BA46/AY46</f>
        <v/>
      </c>
      <c r="BA46" s="55" t="n"/>
      <c r="BB46" s="58" t="n"/>
      <c r="BC46" s="58">
        <f>BD46/BB46</f>
        <v/>
      </c>
      <c r="BD46" s="58" t="n"/>
      <c r="BE46" s="55" t="n"/>
      <c r="BF46" s="55">
        <f>BG46/BE46</f>
        <v/>
      </c>
      <c r="BG46" s="128" t="n"/>
      <c r="BH46" s="58" t="n"/>
      <c r="BI46" s="58">
        <f>BJ46/BH46</f>
        <v/>
      </c>
      <c r="BJ46" s="129" t="n"/>
      <c r="BK46" s="56" t="n"/>
      <c r="BL46" s="56">
        <f>BM46/BK46</f>
        <v/>
      </c>
      <c r="BM46" s="131" t="n"/>
      <c r="BN46" s="58" t="n"/>
      <c r="BO46" s="58">
        <f>BP46/BN46</f>
        <v/>
      </c>
      <c r="BP46" s="129" t="n"/>
      <c r="BQ46" s="55" t="n"/>
      <c r="BR46" s="55">
        <f>BS46/BQ46</f>
        <v/>
      </c>
      <c r="BS46" s="128" t="n"/>
      <c r="BT46" s="58" t="n"/>
      <c r="BU46" s="58">
        <f>BV46/BT46</f>
        <v/>
      </c>
      <c r="BV46" s="129" t="n"/>
      <c r="BW46" s="55" t="n"/>
      <c r="BX46" s="55">
        <f>BY46/BW46</f>
        <v/>
      </c>
      <c r="BY46" s="128" t="n"/>
      <c r="BZ46" s="58" t="n"/>
      <c r="CA46" s="58">
        <f>CB46/BZ46</f>
        <v/>
      </c>
      <c r="CB46" s="129" t="n"/>
      <c r="CC46" s="55" t="n"/>
      <c r="CD46" s="55">
        <f>CE46/CC46</f>
        <v/>
      </c>
      <c r="CE46" s="128" t="n"/>
      <c r="CF46" s="58" t="n"/>
      <c r="CG46" s="58">
        <f>CH46/CF46</f>
        <v/>
      </c>
      <c r="CH46" s="129" t="n"/>
      <c r="CI46" s="55" t="n"/>
      <c r="CJ46" s="55">
        <f>CK46/CI46</f>
        <v/>
      </c>
      <c r="CK46" s="128" t="n"/>
      <c r="CL46" s="58" t="n"/>
      <c r="CM46" s="58">
        <f>CN46/CL46</f>
        <v/>
      </c>
      <c r="CN46" s="129" t="n"/>
      <c r="CO46" s="55" t="n"/>
      <c r="CP46" s="55">
        <f>CQ46/CO46</f>
        <v/>
      </c>
      <c r="CQ46" s="128" t="n"/>
      <c r="CR46" s="58" t="n"/>
      <c r="CS46" s="58">
        <f>CT46/CR46</f>
        <v/>
      </c>
      <c r="CT46" s="129" t="n"/>
      <c r="CU46" s="55" t="n"/>
      <c r="CV46" s="55">
        <f>CW46/CU46</f>
        <v/>
      </c>
      <c r="CW46" s="55" t="n"/>
    </row>
    <row r="47">
      <c r="A47" s="13" t="n">
        <v>45</v>
      </c>
      <c r="B47" s="13" t="inlineStr">
        <is>
          <t>ZC000030</t>
        </is>
      </c>
      <c r="C47" s="13" t="inlineStr">
        <is>
          <t>食品类</t>
        </is>
      </c>
      <c r="D47" s="13" t="inlineStr">
        <is>
          <t>宏斌小米辣</t>
        </is>
      </c>
      <c r="E47" s="13" t="inlineStr">
        <is>
          <t>件</t>
        </is>
      </c>
      <c r="F47" s="6">
        <f>I47+L47+O47+R47+U47+X47+AA47+AD47+AG47+AJ47+AM47+AP47+AS47+AV47+AY47+BB47+BE47+BH47+BK47+BN47+BQ47+BT47+BW47+BZ47+CC47+CF47+CI47+CL47+CO47+CR47+CU47</f>
        <v/>
      </c>
      <c r="G47" s="128">
        <f>H47/F47</f>
        <v/>
      </c>
      <c r="H47" s="6">
        <f>K47+N47+Q47+T47+W47+Z47+AC47+AF47+AI47+AL47+AO47+AR47+AU47+AX47+BA47+BD47+BG47+BJ47+BM47+BP47+BS47+BV47+BY47+CB47+CE47+CH47+CK47+CN47+CQ47+CT47+CW47</f>
        <v/>
      </c>
      <c r="I47" s="55" t="n"/>
      <c r="J47" s="55">
        <f>K47/I47</f>
        <v/>
      </c>
      <c r="K47" s="128" t="n"/>
      <c r="L47" s="56" t="n"/>
      <c r="M47" s="56">
        <f>N47/L47</f>
        <v/>
      </c>
      <c r="N47" s="131" t="n"/>
      <c r="O47" s="55" t="n"/>
      <c r="P47" s="132">
        <f>Q47/O47</f>
        <v/>
      </c>
      <c r="Q47" s="128" t="n"/>
      <c r="R47" s="58" t="n"/>
      <c r="S47" s="58">
        <f>T47/R47</f>
        <v/>
      </c>
      <c r="T47" s="129" t="n"/>
      <c r="U47" s="55" t="n"/>
      <c r="V47" s="55">
        <f>W47/U47</f>
        <v/>
      </c>
      <c r="W47" s="128" t="n"/>
      <c r="X47" s="58" t="n"/>
      <c r="Y47" s="58">
        <f>Z47/X47</f>
        <v/>
      </c>
      <c r="Z47" s="129" t="n"/>
      <c r="AA47" s="55" t="n"/>
      <c r="AB47" s="55">
        <f>AC47/AA47</f>
        <v/>
      </c>
      <c r="AC47" s="128" t="n"/>
      <c r="AD47" s="58" t="n"/>
      <c r="AE47" s="58">
        <f>AF47/AD47</f>
        <v/>
      </c>
      <c r="AF47" s="129" t="n"/>
      <c r="AG47" s="55" t="n"/>
      <c r="AH47" s="55">
        <f>AI47/AG47</f>
        <v/>
      </c>
      <c r="AI47" s="128" t="n"/>
      <c r="AJ47" s="58" t="n"/>
      <c r="AK47" s="58">
        <f>AL47/AJ47</f>
        <v/>
      </c>
      <c r="AL47" s="129" t="n"/>
      <c r="AM47" s="55" t="n"/>
      <c r="AN47" s="55">
        <f>AO47/AM47</f>
        <v/>
      </c>
      <c r="AO47" s="128" t="n"/>
      <c r="AP47" s="58" t="n"/>
      <c r="AQ47" s="58">
        <f>AR47/AP47</f>
        <v/>
      </c>
      <c r="AR47" s="129" t="n"/>
      <c r="AS47" s="55" t="n"/>
      <c r="AT47" s="55">
        <f>AU47/AS47</f>
        <v/>
      </c>
      <c r="AU47" s="128" t="n"/>
      <c r="AV47" s="58" t="n"/>
      <c r="AW47" s="58">
        <f>AX47/AV47</f>
        <v/>
      </c>
      <c r="AX47" s="129" t="n"/>
      <c r="AY47" s="55" t="n"/>
      <c r="AZ47" s="55">
        <f>BA47/AY47</f>
        <v/>
      </c>
      <c r="BA47" s="55" t="n"/>
      <c r="BB47" s="58" t="n"/>
      <c r="BC47" s="58">
        <f>BD47/BB47</f>
        <v/>
      </c>
      <c r="BD47" s="58" t="n"/>
      <c r="BE47" s="55" t="n"/>
      <c r="BF47" s="55">
        <f>BG47/BE47</f>
        <v/>
      </c>
      <c r="BG47" s="128" t="n"/>
      <c r="BH47" s="58" t="n"/>
      <c r="BI47" s="58">
        <f>BJ47/BH47</f>
        <v/>
      </c>
      <c r="BJ47" s="129" t="n"/>
      <c r="BK47" s="56" t="n"/>
      <c r="BL47" s="56">
        <f>BM47/BK47</f>
        <v/>
      </c>
      <c r="BM47" s="131" t="n"/>
      <c r="BN47" s="58" t="n"/>
      <c r="BO47" s="58">
        <f>BP47/BN47</f>
        <v/>
      </c>
      <c r="BP47" s="129" t="n"/>
      <c r="BQ47" s="55" t="n"/>
      <c r="BR47" s="55">
        <f>BS47/BQ47</f>
        <v/>
      </c>
      <c r="BS47" s="128" t="n"/>
      <c r="BT47" s="58" t="n"/>
      <c r="BU47" s="58">
        <f>BV47/BT47</f>
        <v/>
      </c>
      <c r="BV47" s="129" t="n"/>
      <c r="BW47" s="55" t="n"/>
      <c r="BX47" s="55">
        <f>BY47/BW47</f>
        <v/>
      </c>
      <c r="BY47" s="128" t="n"/>
      <c r="BZ47" s="58" t="n"/>
      <c r="CA47" s="58">
        <f>CB47/BZ47</f>
        <v/>
      </c>
      <c r="CB47" s="129" t="n"/>
      <c r="CC47" s="55" t="n"/>
      <c r="CD47" s="55">
        <f>CE47/CC47</f>
        <v/>
      </c>
      <c r="CE47" s="128" t="n"/>
      <c r="CF47" s="58" t="n"/>
      <c r="CG47" s="58">
        <f>CH47/CF47</f>
        <v/>
      </c>
      <c r="CH47" s="129" t="n"/>
      <c r="CI47" s="55" t="n"/>
      <c r="CJ47" s="55">
        <f>CK47/CI47</f>
        <v/>
      </c>
      <c r="CK47" s="128" t="n"/>
      <c r="CL47" s="58" t="n"/>
      <c r="CM47" s="58">
        <f>CN47/CL47</f>
        <v/>
      </c>
      <c r="CN47" s="129" t="n"/>
      <c r="CO47" s="55" t="n"/>
      <c r="CP47" s="55">
        <f>CQ47/CO47</f>
        <v/>
      </c>
      <c r="CQ47" s="128" t="n"/>
      <c r="CR47" s="58" t="n"/>
      <c r="CS47" s="58">
        <f>CT47/CR47</f>
        <v/>
      </c>
      <c r="CT47" s="129" t="n"/>
      <c r="CU47" s="55" t="n"/>
      <c r="CV47" s="55">
        <f>CW47/CU47</f>
        <v/>
      </c>
      <c r="CW47" s="55" t="n"/>
    </row>
    <row r="48">
      <c r="A48" s="13" t="n">
        <v>46</v>
      </c>
      <c r="B48" s="13" t="inlineStr">
        <is>
          <t>ZC000031</t>
        </is>
      </c>
      <c r="C48" s="13" t="inlineStr">
        <is>
          <t>食品类</t>
        </is>
      </c>
      <c r="D48" s="13" t="inlineStr">
        <is>
          <t>茴香粉</t>
        </is>
      </c>
      <c r="E48" s="13" t="inlineStr">
        <is>
          <t>斤</t>
        </is>
      </c>
      <c r="F48" s="6">
        <f>I48+L48+O48+R48+U48+X48+AA48+AD48+AG48+AJ48+AM48+AP48+AS48+AV48+AY48+BB48+BE48+BH48+BK48+BN48+BQ48+BT48+BW48+BZ48+CC48+CF48+CI48+CL48+CO48+CR48+CU48</f>
        <v/>
      </c>
      <c r="G48" s="128">
        <f>H48/F48</f>
        <v/>
      </c>
      <c r="H48" s="6">
        <f>K48+N48+Q48+T48+W48+Z48+AC48+AF48+AI48+AL48+AO48+AR48+AU48+AX48+BA48+BD48+BG48+BJ48+BM48+BP48+BS48+BV48+BY48+CB48+CE48+CH48+CK48+CN48+CQ48+CT48+CW48</f>
        <v/>
      </c>
      <c r="I48" s="55" t="n"/>
      <c r="J48" s="55">
        <f>K48/I48</f>
        <v/>
      </c>
      <c r="K48" s="128" t="n"/>
      <c r="L48" s="56" t="n"/>
      <c r="M48" s="56">
        <f>N48/L48</f>
        <v/>
      </c>
      <c r="N48" s="131" t="n"/>
      <c r="O48" s="55" t="n"/>
      <c r="P48" s="132">
        <f>Q48/O48</f>
        <v/>
      </c>
      <c r="Q48" s="128" t="n"/>
      <c r="R48" s="58" t="n"/>
      <c r="S48" s="58">
        <f>T48/R48</f>
        <v/>
      </c>
      <c r="T48" s="129" t="n"/>
      <c r="U48" s="55" t="n"/>
      <c r="V48" s="55">
        <f>W48/U48</f>
        <v/>
      </c>
      <c r="W48" s="128" t="n"/>
      <c r="X48" s="58" t="n"/>
      <c r="Y48" s="58">
        <f>Z48/X48</f>
        <v/>
      </c>
      <c r="Z48" s="129" t="n"/>
      <c r="AA48" s="55" t="n"/>
      <c r="AB48" s="55">
        <f>AC48/AA48</f>
        <v/>
      </c>
      <c r="AC48" s="128" t="n"/>
      <c r="AD48" s="58" t="n"/>
      <c r="AE48" s="58">
        <f>AF48/AD48</f>
        <v/>
      </c>
      <c r="AF48" s="129" t="n"/>
      <c r="AG48" s="55" t="n"/>
      <c r="AH48" s="55">
        <f>AI48/AG48</f>
        <v/>
      </c>
      <c r="AI48" s="128" t="n"/>
      <c r="AJ48" s="58" t="n"/>
      <c r="AK48" s="58">
        <f>AL48/AJ48</f>
        <v/>
      </c>
      <c r="AL48" s="129" t="n"/>
      <c r="AM48" s="55" t="n"/>
      <c r="AN48" s="55">
        <f>AO48/AM48</f>
        <v/>
      </c>
      <c r="AO48" s="128" t="n"/>
      <c r="AP48" s="58" t="n"/>
      <c r="AQ48" s="58">
        <f>AR48/AP48</f>
        <v/>
      </c>
      <c r="AR48" s="129" t="n"/>
      <c r="AS48" s="55" t="n"/>
      <c r="AT48" s="55">
        <f>AU48/AS48</f>
        <v/>
      </c>
      <c r="AU48" s="128" t="n"/>
      <c r="AV48" s="58" t="n"/>
      <c r="AW48" s="58">
        <f>AX48/AV48</f>
        <v/>
      </c>
      <c r="AX48" s="129" t="n"/>
      <c r="AY48" s="55" t="n"/>
      <c r="AZ48" s="55">
        <f>BA48/AY48</f>
        <v/>
      </c>
      <c r="BA48" s="55" t="n"/>
      <c r="BB48" s="58" t="n"/>
      <c r="BC48" s="58">
        <f>BD48/BB48</f>
        <v/>
      </c>
      <c r="BD48" s="58" t="n"/>
      <c r="BE48" s="55" t="n"/>
      <c r="BF48" s="55">
        <f>BG48/BE48</f>
        <v/>
      </c>
      <c r="BG48" s="128" t="n"/>
      <c r="BH48" s="58" t="n"/>
      <c r="BI48" s="58">
        <f>BJ48/BH48</f>
        <v/>
      </c>
      <c r="BJ48" s="129" t="n"/>
      <c r="BK48" s="56" t="n"/>
      <c r="BL48" s="56">
        <f>BM48/BK48</f>
        <v/>
      </c>
      <c r="BM48" s="131" t="n"/>
      <c r="BN48" s="58" t="n"/>
      <c r="BO48" s="58">
        <f>BP48/BN48</f>
        <v/>
      </c>
      <c r="BP48" s="129" t="n"/>
      <c r="BQ48" s="55" t="n"/>
      <c r="BR48" s="55">
        <f>BS48/BQ48</f>
        <v/>
      </c>
      <c r="BS48" s="128" t="n"/>
      <c r="BT48" s="58" t="n"/>
      <c r="BU48" s="58">
        <f>BV48/BT48</f>
        <v/>
      </c>
      <c r="BV48" s="129" t="n"/>
      <c r="BW48" s="55" t="n"/>
      <c r="BX48" s="55">
        <f>BY48/BW48</f>
        <v/>
      </c>
      <c r="BY48" s="128" t="n"/>
      <c r="BZ48" s="58" t="n"/>
      <c r="CA48" s="58">
        <f>CB48/BZ48</f>
        <v/>
      </c>
      <c r="CB48" s="129" t="n"/>
      <c r="CC48" s="55" t="n"/>
      <c r="CD48" s="55">
        <f>CE48/CC48</f>
        <v/>
      </c>
      <c r="CE48" s="128" t="n"/>
      <c r="CF48" s="58" t="n"/>
      <c r="CG48" s="58">
        <f>CH48/CF48</f>
        <v/>
      </c>
      <c r="CH48" s="129" t="n"/>
      <c r="CI48" s="55" t="n"/>
      <c r="CJ48" s="55">
        <f>CK48/CI48</f>
        <v/>
      </c>
      <c r="CK48" s="128" t="n"/>
      <c r="CL48" s="58" t="n"/>
      <c r="CM48" s="58">
        <f>CN48/CL48</f>
        <v/>
      </c>
      <c r="CN48" s="129" t="n"/>
      <c r="CO48" s="55" t="n"/>
      <c r="CP48" s="55">
        <f>CQ48/CO48</f>
        <v/>
      </c>
      <c r="CQ48" s="128" t="n"/>
      <c r="CR48" s="58" t="n"/>
      <c r="CS48" s="58">
        <f>CT48/CR48</f>
        <v/>
      </c>
      <c r="CT48" s="129" t="n"/>
      <c r="CU48" s="55" t="n"/>
      <c r="CV48" s="55">
        <f>CW48/CU48</f>
        <v/>
      </c>
      <c r="CW48" s="55" t="n"/>
    </row>
    <row r="49">
      <c r="A49" s="13" t="n">
        <v>47</v>
      </c>
      <c r="B49" s="13" t="inlineStr">
        <is>
          <t>ZC000032</t>
        </is>
      </c>
      <c r="C49" s="13" t="inlineStr">
        <is>
          <t>食品类</t>
        </is>
      </c>
      <c r="D49" s="13" t="inlineStr">
        <is>
          <t>老红糖</t>
        </is>
      </c>
      <c r="E49" s="13" t="inlineStr">
        <is>
          <t>包</t>
        </is>
      </c>
      <c r="F49" s="6">
        <f>I49+L49+O49+R49+U49+X49+AA49+AD49+AG49+AJ49+AM49+AP49+AS49+AV49+AY49+BB49+BE49+BH49+BK49+BN49+BQ49+BT49+BW49+BZ49+CC49+CF49+CI49+CL49+CO49+CR49+CU49</f>
        <v/>
      </c>
      <c r="G49" s="128">
        <f>H49/F49</f>
        <v/>
      </c>
      <c r="H49" s="6">
        <f>K49+N49+Q49+T49+W49+Z49+AC49+AF49+AI49+AL49+AO49+AR49+AU49+AX49+BA49+BD49+BG49+BJ49+BM49+BP49+BS49+BV49+BY49+CB49+CE49+CH49+CK49+CN49+CQ49+CT49+CW49</f>
        <v/>
      </c>
      <c r="I49" s="55" t="n"/>
      <c r="J49" s="55">
        <f>K49/I49</f>
        <v/>
      </c>
      <c r="K49" s="128" t="n"/>
      <c r="L49" s="56" t="n"/>
      <c r="M49" s="56">
        <f>N49/L49</f>
        <v/>
      </c>
      <c r="N49" s="131" t="n"/>
      <c r="O49" s="55" t="n"/>
      <c r="P49" s="55">
        <f>Q49/O49</f>
        <v/>
      </c>
      <c r="Q49" s="128" t="n"/>
      <c r="R49" s="58" t="n"/>
      <c r="S49" s="58">
        <f>T49/R49</f>
        <v/>
      </c>
      <c r="T49" s="129" t="n"/>
      <c r="U49" s="55" t="n"/>
      <c r="V49" s="55">
        <f>W49/U49</f>
        <v/>
      </c>
      <c r="W49" s="128" t="n"/>
      <c r="X49" s="58" t="n"/>
      <c r="Y49" s="58">
        <f>Z49/X49</f>
        <v/>
      </c>
      <c r="Z49" s="129" t="n"/>
      <c r="AA49" s="55" t="n"/>
      <c r="AB49" s="55">
        <f>AC49/AA49</f>
        <v/>
      </c>
      <c r="AC49" s="128" t="n"/>
      <c r="AD49" s="58" t="n"/>
      <c r="AE49" s="58">
        <f>AF49/AD49</f>
        <v/>
      </c>
      <c r="AF49" s="129" t="n"/>
      <c r="AG49" s="55" t="n"/>
      <c r="AH49" s="55">
        <f>AI49/AG49</f>
        <v/>
      </c>
      <c r="AI49" s="128" t="n"/>
      <c r="AJ49" s="58" t="n"/>
      <c r="AK49" s="58">
        <f>AL49/AJ49</f>
        <v/>
      </c>
      <c r="AL49" s="129" t="n"/>
      <c r="AM49" s="55" t="n"/>
      <c r="AN49" s="55">
        <f>AO49/AM49</f>
        <v/>
      </c>
      <c r="AO49" s="128" t="n"/>
      <c r="AP49" s="58" t="n"/>
      <c r="AQ49" s="58">
        <f>AR49/AP49</f>
        <v/>
      </c>
      <c r="AR49" s="129" t="n"/>
      <c r="AS49" s="55" t="n"/>
      <c r="AT49" s="55">
        <f>AU49/AS49</f>
        <v/>
      </c>
      <c r="AU49" s="128" t="n"/>
      <c r="AV49" s="58" t="n"/>
      <c r="AW49" s="58">
        <f>AX49/AV49</f>
        <v/>
      </c>
      <c r="AX49" s="129" t="n"/>
      <c r="AY49" s="55" t="n"/>
      <c r="AZ49" s="55">
        <f>BA49/AY49</f>
        <v/>
      </c>
      <c r="BA49" s="55" t="n"/>
      <c r="BB49" s="58" t="n"/>
      <c r="BC49" s="58">
        <f>BD49/BB49</f>
        <v/>
      </c>
      <c r="BD49" s="58" t="n"/>
      <c r="BE49" s="55" t="n"/>
      <c r="BF49" s="55">
        <f>BG49/BE49</f>
        <v/>
      </c>
      <c r="BG49" s="128" t="n"/>
      <c r="BH49" s="58" t="n"/>
      <c r="BI49" s="58">
        <f>BJ49/BH49</f>
        <v/>
      </c>
      <c r="BJ49" s="129" t="n"/>
      <c r="BK49" s="56" t="n"/>
      <c r="BL49" s="56">
        <f>BM49/BK49</f>
        <v/>
      </c>
      <c r="BM49" s="131" t="n"/>
      <c r="BN49" s="58" t="n"/>
      <c r="BO49" s="58">
        <f>BP49/BN49</f>
        <v/>
      </c>
      <c r="BP49" s="129" t="n"/>
      <c r="BQ49" s="55" t="n"/>
      <c r="BR49" s="55">
        <f>BS49/BQ49</f>
        <v/>
      </c>
      <c r="BS49" s="128" t="n"/>
      <c r="BT49" s="58" t="n"/>
      <c r="BU49" s="58">
        <f>BV49/BT49</f>
        <v/>
      </c>
      <c r="BV49" s="129" t="n"/>
      <c r="BW49" s="55" t="n"/>
      <c r="BX49" s="55">
        <f>BY49/BW49</f>
        <v/>
      </c>
      <c r="BY49" s="128" t="n"/>
      <c r="BZ49" s="58" t="n"/>
      <c r="CA49" s="58">
        <f>CB49/BZ49</f>
        <v/>
      </c>
      <c r="CB49" s="129" t="n"/>
      <c r="CC49" s="55" t="n"/>
      <c r="CD49" s="55">
        <f>CE49/CC49</f>
        <v/>
      </c>
      <c r="CE49" s="128" t="n"/>
      <c r="CF49" s="58" t="n"/>
      <c r="CG49" s="58">
        <f>CH49/CF49</f>
        <v/>
      </c>
      <c r="CH49" s="129" t="n"/>
      <c r="CI49" s="55" t="n"/>
      <c r="CJ49" s="55">
        <f>CK49/CI49</f>
        <v/>
      </c>
      <c r="CK49" s="128" t="n"/>
      <c r="CL49" s="58" t="n"/>
      <c r="CM49" s="58">
        <f>CN49/CL49</f>
        <v/>
      </c>
      <c r="CN49" s="129" t="n"/>
      <c r="CO49" s="55" t="n"/>
      <c r="CP49" s="55">
        <f>CQ49/CO49</f>
        <v/>
      </c>
      <c r="CQ49" s="128" t="n"/>
      <c r="CR49" s="58" t="n"/>
      <c r="CS49" s="58">
        <f>CT49/CR49</f>
        <v/>
      </c>
      <c r="CT49" s="129" t="n"/>
      <c r="CU49" s="55" t="n"/>
      <c r="CV49" s="55">
        <f>CW49/CU49</f>
        <v/>
      </c>
      <c r="CW49" s="55" t="n"/>
    </row>
    <row r="50">
      <c r="A50" s="13" t="n">
        <v>48</v>
      </c>
      <c r="B50" s="13" t="inlineStr">
        <is>
          <t>ZC000033</t>
        </is>
      </c>
      <c r="C50" s="13" t="inlineStr">
        <is>
          <t>食品类</t>
        </is>
      </c>
      <c r="D50" s="13" t="inlineStr">
        <is>
          <t>枸杞 500g</t>
        </is>
      </c>
      <c r="E50" s="13" t="inlineStr">
        <is>
          <t>袋</t>
        </is>
      </c>
      <c r="F50" s="6">
        <f>I50+L50+O50+R50+U50+X50+AA50+AD50+AG50+AJ50+AM50+AP50+AS50+AV50+AY50+BB50+BE50+BH50+BK50+BN50+BQ50+BT50+BW50+BZ50+CC50+CF50+CI50+CL50+CO50+CR50+CU50</f>
        <v/>
      </c>
      <c r="G50" s="128">
        <f>H50/F50</f>
        <v/>
      </c>
      <c r="H50" s="6">
        <f>K50+N50+Q50+T50+W50+Z50+AC50+AF50+AI50+AL50+AO50+AR50+AU50+AX50+BA50+BD50+BG50+BJ50+BM50+BP50+BS50+BV50+BY50+CB50+CE50+CH50+CK50+CN50+CQ50+CT50+CW50</f>
        <v/>
      </c>
      <c r="I50" s="55" t="n"/>
      <c r="J50" s="55">
        <f>K50/I50</f>
        <v/>
      </c>
      <c r="K50" s="128" t="n"/>
      <c r="L50" s="56" t="n"/>
      <c r="M50" s="56">
        <f>N50/L50</f>
        <v/>
      </c>
      <c r="N50" s="131" t="n"/>
      <c r="O50" s="55" t="n"/>
      <c r="P50" s="55">
        <f>Q50/O50</f>
        <v/>
      </c>
      <c r="Q50" s="128" t="n"/>
      <c r="R50" s="58" t="n"/>
      <c r="S50" s="58">
        <f>T50/R50</f>
        <v/>
      </c>
      <c r="T50" s="129" t="n"/>
      <c r="U50" s="55" t="n"/>
      <c r="V50" s="55">
        <f>W50/U50</f>
        <v/>
      </c>
      <c r="W50" s="128" t="n"/>
      <c r="X50" s="58" t="n"/>
      <c r="Y50" s="58">
        <f>Z50/X50</f>
        <v/>
      </c>
      <c r="Z50" s="129" t="n"/>
      <c r="AA50" s="55" t="n"/>
      <c r="AB50" s="55">
        <f>AC50/AA50</f>
        <v/>
      </c>
      <c r="AC50" s="128" t="n"/>
      <c r="AD50" s="58" t="n"/>
      <c r="AE50" s="58">
        <f>AF50/AD50</f>
        <v/>
      </c>
      <c r="AF50" s="129" t="n"/>
      <c r="AG50" s="55" t="n"/>
      <c r="AH50" s="55">
        <f>AI50/AG50</f>
        <v/>
      </c>
      <c r="AI50" s="128" t="n"/>
      <c r="AJ50" s="58" t="n"/>
      <c r="AK50" s="58">
        <f>AL50/AJ50</f>
        <v/>
      </c>
      <c r="AL50" s="129" t="n"/>
      <c r="AM50" s="55" t="n"/>
      <c r="AN50" s="55">
        <f>AO50/AM50</f>
        <v/>
      </c>
      <c r="AO50" s="128" t="n"/>
      <c r="AP50" s="58" t="n"/>
      <c r="AQ50" s="58">
        <f>AR50/AP50</f>
        <v/>
      </c>
      <c r="AR50" s="129" t="n"/>
      <c r="AS50" s="55" t="n"/>
      <c r="AT50" s="55">
        <f>AU50/AS50</f>
        <v/>
      </c>
      <c r="AU50" s="128" t="n"/>
      <c r="AV50" s="58" t="n"/>
      <c r="AW50" s="58">
        <f>AX50/AV50</f>
        <v/>
      </c>
      <c r="AX50" s="129" t="n"/>
      <c r="AY50" s="55" t="n"/>
      <c r="AZ50" s="55">
        <f>BA50/AY50</f>
        <v/>
      </c>
      <c r="BA50" s="55" t="n"/>
      <c r="BB50" s="58" t="n"/>
      <c r="BC50" s="58">
        <f>BD50/BB50</f>
        <v/>
      </c>
      <c r="BD50" s="58" t="n"/>
      <c r="BE50" s="55" t="n"/>
      <c r="BF50" s="55">
        <f>BG50/BE50</f>
        <v/>
      </c>
      <c r="BG50" s="128" t="n"/>
      <c r="BH50" s="58" t="n"/>
      <c r="BI50" s="58">
        <f>BJ50/BH50</f>
        <v/>
      </c>
      <c r="BJ50" s="129" t="n"/>
      <c r="BK50" s="56" t="n"/>
      <c r="BL50" s="56">
        <f>BM50/BK50</f>
        <v/>
      </c>
      <c r="BM50" s="131" t="n"/>
      <c r="BN50" s="58" t="n"/>
      <c r="BO50" s="58">
        <f>BP50/BN50</f>
        <v/>
      </c>
      <c r="BP50" s="129" t="n"/>
      <c r="BQ50" s="55" t="n"/>
      <c r="BR50" s="55">
        <f>BS50/BQ50</f>
        <v/>
      </c>
      <c r="BS50" s="128" t="n"/>
      <c r="BT50" s="58" t="n"/>
      <c r="BU50" s="58">
        <f>BV50/BT50</f>
        <v/>
      </c>
      <c r="BV50" s="129" t="n"/>
      <c r="BW50" s="55" t="n"/>
      <c r="BX50" s="55">
        <f>BY50/BW50</f>
        <v/>
      </c>
      <c r="BY50" s="128" t="n"/>
      <c r="BZ50" s="58" t="n"/>
      <c r="CA50" s="58">
        <f>CB50/BZ50</f>
        <v/>
      </c>
      <c r="CB50" s="129" t="n"/>
      <c r="CC50" s="55" t="n"/>
      <c r="CD50" s="55">
        <f>CE50/CC50</f>
        <v/>
      </c>
      <c r="CE50" s="128" t="n"/>
      <c r="CF50" s="58" t="n"/>
      <c r="CG50" s="58">
        <f>CH50/CF50</f>
        <v/>
      </c>
      <c r="CH50" s="129" t="n"/>
      <c r="CI50" s="55" t="n"/>
      <c r="CJ50" s="55">
        <f>CK50/CI50</f>
        <v/>
      </c>
      <c r="CK50" s="128" t="n"/>
      <c r="CL50" s="58" t="n"/>
      <c r="CM50" s="58">
        <f>CN50/CL50</f>
        <v/>
      </c>
      <c r="CN50" s="129" t="n"/>
      <c r="CO50" s="55" t="n"/>
      <c r="CP50" s="55">
        <f>CQ50/CO50</f>
        <v/>
      </c>
      <c r="CQ50" s="128" t="n"/>
      <c r="CR50" s="58" t="n"/>
      <c r="CS50" s="58">
        <f>CT50/CR50</f>
        <v/>
      </c>
      <c r="CT50" s="129" t="n"/>
      <c r="CU50" s="55" t="n"/>
      <c r="CV50" s="55">
        <f>CW50/CU50</f>
        <v/>
      </c>
      <c r="CW50" s="55" t="n"/>
    </row>
    <row r="51">
      <c r="A51" s="13" t="n">
        <v>49</v>
      </c>
      <c r="B51" s="13" t="inlineStr">
        <is>
          <t>ZC000034</t>
        </is>
      </c>
      <c r="C51" s="13" t="inlineStr">
        <is>
          <t>食品类</t>
        </is>
      </c>
      <c r="D51" s="13" t="inlineStr">
        <is>
          <t>恒顺陈醋</t>
        </is>
      </c>
      <c r="E51" s="13" t="inlineStr">
        <is>
          <t>件</t>
        </is>
      </c>
      <c r="F51" s="6">
        <f>I51+L51+O51+R51+U51+X51+AA51+AD51+AG51+AJ51+AM51+AP51+AS51+AV51+AY51+BB51+BE51+BH51+BK51+BN51+BQ51+BT51+BW51+BZ51+CC51+CF51+CI51+CL51+CO51+CR51+CU51</f>
        <v/>
      </c>
      <c r="G51" s="128">
        <f>H51/F51</f>
        <v/>
      </c>
      <c r="H51" s="6">
        <f>K51+N51+Q51+T51+W51+Z51+AC51+AF51+AI51+AL51+AO51+AR51+AU51+AX51+BA51+BD51+BG51+BJ51+BM51+BP51+BS51+BV51+BY51+CB51+CE51+CH51+CK51+CN51+CQ51+CT51+CW51</f>
        <v/>
      </c>
      <c r="I51" s="55" t="n"/>
      <c r="J51" s="55">
        <f>K51/I51</f>
        <v/>
      </c>
      <c r="K51" s="128" t="n"/>
      <c r="L51" s="56" t="n"/>
      <c r="M51" s="56">
        <f>N51/L51</f>
        <v/>
      </c>
      <c r="N51" s="131" t="n"/>
      <c r="O51" s="55" t="n"/>
      <c r="P51" s="132">
        <f>Q51/O51</f>
        <v/>
      </c>
      <c r="Q51" s="128" t="n"/>
      <c r="R51" s="58" t="n"/>
      <c r="S51" s="58">
        <f>T51/R51</f>
        <v/>
      </c>
      <c r="T51" s="129" t="n"/>
      <c r="U51" s="55" t="n"/>
      <c r="V51" s="55">
        <f>W51/U51</f>
        <v/>
      </c>
      <c r="W51" s="128" t="n"/>
      <c r="X51" s="58" t="n"/>
      <c r="Y51" s="58">
        <f>Z51/X51</f>
        <v/>
      </c>
      <c r="Z51" s="129" t="n"/>
      <c r="AA51" s="55" t="n"/>
      <c r="AB51" s="55">
        <f>AC51/AA51</f>
        <v/>
      </c>
      <c r="AC51" s="128" t="n"/>
      <c r="AD51" s="58" t="n"/>
      <c r="AE51" s="58">
        <f>AF51/AD51</f>
        <v/>
      </c>
      <c r="AF51" s="129" t="n"/>
      <c r="AG51" s="55" t="n"/>
      <c r="AH51" s="55">
        <f>AI51/AG51</f>
        <v/>
      </c>
      <c r="AI51" s="128" t="n"/>
      <c r="AJ51" s="58" t="n"/>
      <c r="AK51" s="58">
        <f>AL51/AJ51</f>
        <v/>
      </c>
      <c r="AL51" s="129" t="n"/>
      <c r="AM51" s="55" t="n"/>
      <c r="AN51" s="55">
        <f>AO51/AM51</f>
        <v/>
      </c>
      <c r="AO51" s="128" t="n"/>
      <c r="AP51" s="58" t="n"/>
      <c r="AQ51" s="58">
        <f>AR51/AP51</f>
        <v/>
      </c>
      <c r="AR51" s="129" t="n"/>
      <c r="AS51" s="55" t="n"/>
      <c r="AT51" s="55">
        <f>AU51/AS51</f>
        <v/>
      </c>
      <c r="AU51" s="128" t="n"/>
      <c r="AV51" s="58" t="n"/>
      <c r="AW51" s="58">
        <f>AX51/AV51</f>
        <v/>
      </c>
      <c r="AX51" s="129" t="n"/>
      <c r="AY51" s="55" t="n"/>
      <c r="AZ51" s="55">
        <f>BA51/AY51</f>
        <v/>
      </c>
      <c r="BA51" s="55" t="n"/>
      <c r="BB51" s="58" t="n"/>
      <c r="BC51" s="58">
        <f>BD51/BB51</f>
        <v/>
      </c>
      <c r="BD51" s="58" t="n"/>
      <c r="BE51" s="55" t="n"/>
      <c r="BF51" s="55">
        <f>BG51/BE51</f>
        <v/>
      </c>
      <c r="BG51" s="128" t="n"/>
      <c r="BH51" s="58" t="n"/>
      <c r="BI51" s="58">
        <f>BJ51/BH51</f>
        <v/>
      </c>
      <c r="BJ51" s="129" t="n"/>
      <c r="BK51" s="56" t="n"/>
      <c r="BL51" s="56">
        <f>BM51/BK51</f>
        <v/>
      </c>
      <c r="BM51" s="131" t="n"/>
      <c r="BN51" s="58" t="n"/>
      <c r="BO51" s="58">
        <f>BP51/BN51</f>
        <v/>
      </c>
      <c r="BP51" s="129" t="n"/>
      <c r="BQ51" s="55" t="n"/>
      <c r="BR51" s="55">
        <f>BS51/BQ51</f>
        <v/>
      </c>
      <c r="BS51" s="128" t="n"/>
      <c r="BT51" s="58" t="n"/>
      <c r="BU51" s="58">
        <f>BV51/BT51</f>
        <v/>
      </c>
      <c r="BV51" s="129" t="n"/>
      <c r="BW51" s="55" t="n"/>
      <c r="BX51" s="55">
        <f>BY51/BW51</f>
        <v/>
      </c>
      <c r="BY51" s="128" t="n"/>
      <c r="BZ51" s="58" t="n"/>
      <c r="CA51" s="58">
        <f>CB51/BZ51</f>
        <v/>
      </c>
      <c r="CB51" s="129" t="n"/>
      <c r="CC51" s="55" t="n"/>
      <c r="CD51" s="55">
        <f>CE51/CC51</f>
        <v/>
      </c>
      <c r="CE51" s="128" t="n"/>
      <c r="CF51" s="58" t="n"/>
      <c r="CG51" s="58">
        <f>CH51/CF51</f>
        <v/>
      </c>
      <c r="CH51" s="129" t="n"/>
      <c r="CI51" s="55" t="n"/>
      <c r="CJ51" s="55">
        <f>CK51/CI51</f>
        <v/>
      </c>
      <c r="CK51" s="128" t="n"/>
      <c r="CL51" s="58" t="n"/>
      <c r="CM51" s="58">
        <f>CN51/CL51</f>
        <v/>
      </c>
      <c r="CN51" s="129" t="n"/>
      <c r="CO51" s="55" t="n"/>
      <c r="CP51" s="55">
        <f>CQ51/CO51</f>
        <v/>
      </c>
      <c r="CQ51" s="128" t="n"/>
      <c r="CR51" s="58" t="n"/>
      <c r="CS51" s="58">
        <f>CT51/CR51</f>
        <v/>
      </c>
      <c r="CT51" s="129" t="n"/>
      <c r="CU51" s="55" t="n"/>
      <c r="CV51" s="55">
        <f>CW51/CU51</f>
        <v/>
      </c>
      <c r="CW51" s="55" t="n"/>
    </row>
    <row r="52">
      <c r="A52" s="13" t="n">
        <v>50</v>
      </c>
      <c r="B52" s="13" t="inlineStr">
        <is>
          <t>ZC000035</t>
        </is>
      </c>
      <c r="C52" s="13" t="inlineStr">
        <is>
          <t>食品类</t>
        </is>
      </c>
      <c r="D52" s="66" t="inlineStr">
        <is>
          <t>鲜味生抽 1.9升</t>
        </is>
      </c>
      <c r="E52" s="13" t="inlineStr">
        <is>
          <t>桶</t>
        </is>
      </c>
      <c r="F52" s="6">
        <f>I52+L52+O52+R52+U52+X52+AA52+AD52+AG52+AJ52+AM52+AP52+AS52+AV52+AY52+BB52+BE52+BH52+BK52+BN52+BQ52+BT52+BW52+BZ52+CC52+CF52+CI52+CL52+CO52+CR52+CU52</f>
        <v/>
      </c>
      <c r="G52" s="128">
        <f>H52/F52</f>
        <v/>
      </c>
      <c r="H52" s="6">
        <f>K52+N52+Q52+T52+W52+Z52+AC52+AF52+AI52+AL52+AO52+AR52+AU52+AX52+BA52+BD52+BG52+BJ52+BM52+BP52+BS52+BV52+BY52+CB52+CE52+CH52+CK52+CN52+CQ52+CT52+CW52</f>
        <v/>
      </c>
      <c r="I52" s="55" t="n"/>
      <c r="J52" s="55">
        <f>K52/I52</f>
        <v/>
      </c>
      <c r="K52" s="128" t="n"/>
      <c r="L52" s="56" t="n"/>
      <c r="M52" s="56">
        <f>N52/L52</f>
        <v/>
      </c>
      <c r="N52" s="131" t="n"/>
      <c r="O52" s="55" t="n"/>
      <c r="P52" s="55">
        <f>Q52/O52</f>
        <v/>
      </c>
      <c r="Q52" s="128" t="n"/>
      <c r="R52" s="58" t="n"/>
      <c r="S52" s="58">
        <f>T52/R52</f>
        <v/>
      </c>
      <c r="T52" s="129" t="n"/>
      <c r="U52" s="55" t="n"/>
      <c r="V52" s="55">
        <f>W52/U52</f>
        <v/>
      </c>
      <c r="W52" s="128" t="n"/>
      <c r="X52" s="58" t="n"/>
      <c r="Y52" s="58">
        <f>Z52/X52</f>
        <v/>
      </c>
      <c r="Z52" s="129" t="n"/>
      <c r="AA52" s="55" t="n"/>
      <c r="AB52" s="55">
        <f>AC52/AA52</f>
        <v/>
      </c>
      <c r="AC52" s="128" t="n"/>
      <c r="AD52" s="58" t="n"/>
      <c r="AE52" s="58">
        <f>AF52/AD52</f>
        <v/>
      </c>
      <c r="AF52" s="129" t="n"/>
      <c r="AG52" s="55" t="n"/>
      <c r="AH52" s="55">
        <f>AI52/AG52</f>
        <v/>
      </c>
      <c r="AI52" s="128" t="n"/>
      <c r="AJ52" s="58" t="n"/>
      <c r="AK52" s="58">
        <f>AL52/AJ52</f>
        <v/>
      </c>
      <c r="AL52" s="129" t="n"/>
      <c r="AM52" s="55" t="n"/>
      <c r="AN52" s="55">
        <f>AO52/AM52</f>
        <v/>
      </c>
      <c r="AO52" s="128" t="n"/>
      <c r="AP52" s="58" t="n"/>
      <c r="AQ52" s="58">
        <f>AR52/AP52</f>
        <v/>
      </c>
      <c r="AR52" s="129" t="n"/>
      <c r="AS52" s="55" t="n"/>
      <c r="AT52" s="55">
        <f>AU52/AS52</f>
        <v/>
      </c>
      <c r="AU52" s="128" t="n"/>
      <c r="AV52" s="58" t="n"/>
      <c r="AW52" s="58">
        <f>AX52/AV52</f>
        <v/>
      </c>
      <c r="AX52" s="129" t="n"/>
      <c r="AY52" s="55" t="n"/>
      <c r="AZ52" s="55">
        <f>BA52/AY52</f>
        <v/>
      </c>
      <c r="BA52" s="55" t="n"/>
      <c r="BB52" s="58" t="n"/>
      <c r="BC52" s="58">
        <f>BD52/BB52</f>
        <v/>
      </c>
      <c r="BD52" s="58" t="n"/>
      <c r="BE52" s="55" t="n"/>
      <c r="BF52" s="55">
        <f>BG52/BE52</f>
        <v/>
      </c>
      <c r="BG52" s="128" t="n"/>
      <c r="BH52" s="58" t="n"/>
      <c r="BI52" s="58">
        <f>BJ52/BH52</f>
        <v/>
      </c>
      <c r="BJ52" s="129" t="n"/>
      <c r="BK52" s="56" t="n"/>
      <c r="BL52" s="56">
        <f>BM52/BK52</f>
        <v/>
      </c>
      <c r="BM52" s="131" t="n"/>
      <c r="BN52" s="58" t="n"/>
      <c r="BO52" s="58">
        <f>BP52/BN52</f>
        <v/>
      </c>
      <c r="BP52" s="129" t="n"/>
      <c r="BQ52" s="55" t="n"/>
      <c r="BR52" s="55">
        <f>BS52/BQ52</f>
        <v/>
      </c>
      <c r="BS52" s="128" t="n"/>
      <c r="BT52" s="58" t="n"/>
      <c r="BU52" s="58">
        <f>BV52/BT52</f>
        <v/>
      </c>
      <c r="BV52" s="129" t="n"/>
      <c r="BW52" s="55" t="n"/>
      <c r="BX52" s="55">
        <f>BY52/BW52</f>
        <v/>
      </c>
      <c r="BY52" s="128" t="n"/>
      <c r="BZ52" s="58" t="n"/>
      <c r="CA52" s="58">
        <f>CB52/BZ52</f>
        <v/>
      </c>
      <c r="CB52" s="129" t="n"/>
      <c r="CC52" s="55" t="n"/>
      <c r="CD52" s="55">
        <f>CE52/CC52</f>
        <v/>
      </c>
      <c r="CE52" s="128" t="n"/>
      <c r="CF52" s="58" t="n"/>
      <c r="CG52" s="58">
        <f>CH52/CF52</f>
        <v/>
      </c>
      <c r="CH52" s="129" t="n"/>
      <c r="CI52" s="55" t="n"/>
      <c r="CJ52" s="55">
        <f>CK52/CI52</f>
        <v/>
      </c>
      <c r="CK52" s="128" t="n"/>
      <c r="CL52" s="58" t="n"/>
      <c r="CM52" s="58">
        <f>CN52/CL52</f>
        <v/>
      </c>
      <c r="CN52" s="129" t="n"/>
      <c r="CO52" s="55" t="n"/>
      <c r="CP52" s="55">
        <f>CQ52/CO52</f>
        <v/>
      </c>
      <c r="CQ52" s="128" t="n"/>
      <c r="CR52" s="58" t="n"/>
      <c r="CS52" s="58">
        <f>CT52/CR52</f>
        <v/>
      </c>
      <c r="CT52" s="129" t="n"/>
      <c r="CU52" s="55" t="n"/>
      <c r="CV52" s="55">
        <f>CW52/CU52</f>
        <v/>
      </c>
      <c r="CW52" s="55" t="n"/>
    </row>
    <row r="53">
      <c r="A53" s="13" t="n">
        <v>51</v>
      </c>
      <c r="B53" s="13" t="inlineStr">
        <is>
          <t>ZC000036</t>
        </is>
      </c>
      <c r="C53" s="13" t="inlineStr">
        <is>
          <t>食品类</t>
        </is>
      </c>
      <c r="D53" s="13" t="inlineStr">
        <is>
          <t>青花椒粉</t>
        </is>
      </c>
      <c r="E53" s="13" t="inlineStr">
        <is>
          <t>斤</t>
        </is>
      </c>
      <c r="F53" s="6">
        <f>I53+L53+O53+R53+U53+X53+AA53+AD53+AG53+AJ53+AM53+AP53+AS53+AV53+AY53+BB53+BE53+BH53+BK53+BN53+BQ53+BT53+BW53+BZ53+CC53+CF53+CI53+CL53+CO53+CR53+CU53</f>
        <v/>
      </c>
      <c r="G53" s="128">
        <f>H53/F53</f>
        <v/>
      </c>
      <c r="H53" s="6">
        <f>K53+N53+Q53+T53+W53+Z53+AC53+AF53+AI53+AL53+AO53+AR53+AU53+AX53+BA53+BD53+BG53+BJ53+BM53+BP53+BS53+BV53+BY53+CB53+CE53+CH53+CK53+CN53+CQ53+CT53+CW53</f>
        <v/>
      </c>
      <c r="I53" s="55" t="n"/>
      <c r="J53" s="55">
        <f>K53/I53</f>
        <v/>
      </c>
      <c r="K53" s="128" t="n"/>
      <c r="L53" s="56" t="n"/>
      <c r="M53" s="56">
        <f>N53/L53</f>
        <v/>
      </c>
      <c r="N53" s="131" t="n"/>
      <c r="O53" s="55" t="n"/>
      <c r="P53" s="132">
        <f>Q53/O53</f>
        <v/>
      </c>
      <c r="Q53" s="128" t="n"/>
      <c r="R53" s="58" t="n"/>
      <c r="S53" s="58">
        <f>T53/R53</f>
        <v/>
      </c>
      <c r="T53" s="129" t="n"/>
      <c r="U53" s="55" t="n"/>
      <c r="V53" s="55">
        <f>W53/U53</f>
        <v/>
      </c>
      <c r="W53" s="128" t="n"/>
      <c r="X53" s="58" t="n"/>
      <c r="Y53" s="58">
        <f>Z53/X53</f>
        <v/>
      </c>
      <c r="Z53" s="129" t="n"/>
      <c r="AA53" s="55" t="n"/>
      <c r="AB53" s="55">
        <f>AC53/AA53</f>
        <v/>
      </c>
      <c r="AC53" s="128" t="n"/>
      <c r="AD53" s="58" t="n"/>
      <c r="AE53" s="58">
        <f>AF53/AD53</f>
        <v/>
      </c>
      <c r="AF53" s="129" t="n"/>
      <c r="AG53" s="55" t="n"/>
      <c r="AH53" s="55">
        <f>AI53/AG53</f>
        <v/>
      </c>
      <c r="AI53" s="128" t="n"/>
      <c r="AJ53" s="58" t="n"/>
      <c r="AK53" s="58">
        <f>AL53/AJ53</f>
        <v/>
      </c>
      <c r="AL53" s="129" t="n"/>
      <c r="AM53" s="55" t="n"/>
      <c r="AN53" s="55">
        <f>AO53/AM53</f>
        <v/>
      </c>
      <c r="AO53" s="128" t="n"/>
      <c r="AP53" s="58" t="n"/>
      <c r="AQ53" s="58">
        <f>AR53/AP53</f>
        <v/>
      </c>
      <c r="AR53" s="129" t="n"/>
      <c r="AS53" s="55" t="n"/>
      <c r="AT53" s="55">
        <f>AU53/AS53</f>
        <v/>
      </c>
      <c r="AU53" s="128" t="n"/>
      <c r="AV53" s="58" t="n"/>
      <c r="AW53" s="58">
        <f>AX53/AV53</f>
        <v/>
      </c>
      <c r="AX53" s="129" t="n"/>
      <c r="AY53" s="55" t="n"/>
      <c r="AZ53" s="55">
        <f>BA53/AY53</f>
        <v/>
      </c>
      <c r="BA53" s="55" t="n"/>
      <c r="BB53" s="58" t="n"/>
      <c r="BC53" s="58">
        <f>BD53/BB53</f>
        <v/>
      </c>
      <c r="BD53" s="58" t="n"/>
      <c r="BE53" s="55" t="n"/>
      <c r="BF53" s="55">
        <f>BG53/BE53</f>
        <v/>
      </c>
      <c r="BG53" s="128" t="n"/>
      <c r="BH53" s="58" t="n"/>
      <c r="BI53" s="58">
        <f>BJ53/BH53</f>
        <v/>
      </c>
      <c r="BJ53" s="129" t="n"/>
      <c r="BK53" s="56" t="n"/>
      <c r="BL53" s="56">
        <f>BM53/BK53</f>
        <v/>
      </c>
      <c r="BM53" s="131" t="n"/>
      <c r="BN53" s="58" t="n"/>
      <c r="BO53" s="58">
        <f>BP53/BN53</f>
        <v/>
      </c>
      <c r="BP53" s="129" t="n"/>
      <c r="BQ53" s="55" t="n"/>
      <c r="BR53" s="55">
        <f>BS53/BQ53</f>
        <v/>
      </c>
      <c r="BS53" s="128" t="n"/>
      <c r="BT53" s="58" t="n"/>
      <c r="BU53" s="58">
        <f>BV53/BT53</f>
        <v/>
      </c>
      <c r="BV53" s="129" t="n"/>
      <c r="BW53" s="55" t="n"/>
      <c r="BX53" s="55">
        <f>BY53/BW53</f>
        <v/>
      </c>
      <c r="BY53" s="128" t="n"/>
      <c r="BZ53" s="58" t="n"/>
      <c r="CA53" s="58">
        <f>CB53/BZ53</f>
        <v/>
      </c>
      <c r="CB53" s="129" t="n"/>
      <c r="CC53" s="55" t="n"/>
      <c r="CD53" s="55">
        <f>CE53/CC53</f>
        <v/>
      </c>
      <c r="CE53" s="128" t="n"/>
      <c r="CF53" s="58" t="n"/>
      <c r="CG53" s="58">
        <f>CH53/CF53</f>
        <v/>
      </c>
      <c r="CH53" s="129" t="n"/>
      <c r="CI53" s="55" t="n"/>
      <c r="CJ53" s="55">
        <f>CK53/CI53</f>
        <v/>
      </c>
      <c r="CK53" s="128" t="n"/>
      <c r="CL53" s="58" t="n"/>
      <c r="CM53" s="58">
        <f>CN53/CL53</f>
        <v/>
      </c>
      <c r="CN53" s="129" t="n"/>
      <c r="CO53" s="55" t="n"/>
      <c r="CP53" s="55">
        <f>CQ53/CO53</f>
        <v/>
      </c>
      <c r="CQ53" s="128" t="n"/>
      <c r="CR53" s="58" t="n"/>
      <c r="CS53" s="58">
        <f>CT53/CR53</f>
        <v/>
      </c>
      <c r="CT53" s="129" t="n"/>
      <c r="CU53" s="55" t="n"/>
      <c r="CV53" s="55">
        <f>CW53/CU53</f>
        <v/>
      </c>
      <c r="CW53" s="55" t="n"/>
    </row>
    <row r="54">
      <c r="A54" s="13" t="n">
        <v>52</v>
      </c>
      <c r="B54" s="13" t="inlineStr">
        <is>
          <t>ZC000037</t>
        </is>
      </c>
      <c r="C54" s="13" t="inlineStr">
        <is>
          <t>食品类</t>
        </is>
      </c>
      <c r="D54" s="13" t="inlineStr">
        <is>
          <t>20升 食用油</t>
        </is>
      </c>
      <c r="E54" s="13" t="inlineStr">
        <is>
          <t>件</t>
        </is>
      </c>
      <c r="F54" s="6">
        <f>I54+L54+O54+R54+U54+X54+AA54+AD54+AG54+AJ54+AM54+AP54+AS54+AV54+AY54+BB54+BE54+BH54+BK54+BN54+BQ54+BT54+BW54+BZ54+CC54+CF54+CI54+CL54+CO54+CR54+CU54</f>
        <v/>
      </c>
      <c r="G54" s="136">
        <f>H54/F54</f>
        <v/>
      </c>
      <c r="H54" s="6">
        <f>K54+N54+Q54+T54+W54+Z54+AC54+AF54+AI54+AL54+AO54+AR54+AU54+AX54+BA54+BD54+BG54+BJ54+BM54+BP54+BS54+BV54+BY54+CB54+CE54+CH54+CK54+CN54+CQ54+CT54+CW54</f>
        <v/>
      </c>
      <c r="I54" s="55" t="n"/>
      <c r="J54" s="55">
        <f>K54/I54</f>
        <v/>
      </c>
      <c r="K54" s="128" t="n"/>
      <c r="L54" s="56" t="n"/>
      <c r="M54" s="56">
        <f>N54/L54</f>
        <v/>
      </c>
      <c r="N54" s="131" t="n"/>
      <c r="O54" s="55" t="n"/>
      <c r="P54" s="132">
        <f>Q54/O54</f>
        <v/>
      </c>
      <c r="Q54" s="128" t="n"/>
      <c r="R54" s="58" t="n"/>
      <c r="S54" s="58">
        <f>T54/R54</f>
        <v/>
      </c>
      <c r="T54" s="129" t="n"/>
      <c r="U54" s="55" t="n"/>
      <c r="V54" s="55">
        <f>W54/U54</f>
        <v/>
      </c>
      <c r="W54" s="128" t="n"/>
      <c r="X54" s="58" t="n"/>
      <c r="Y54" s="58">
        <f>Z54/X54</f>
        <v/>
      </c>
      <c r="Z54" s="129" t="n"/>
      <c r="AA54" s="55" t="n"/>
      <c r="AB54" s="55">
        <f>AC54/AA54</f>
        <v/>
      </c>
      <c r="AC54" s="128" t="n"/>
      <c r="AD54" s="58" t="n"/>
      <c r="AE54" s="58">
        <f>AF54/AD54</f>
        <v/>
      </c>
      <c r="AF54" s="129" t="n"/>
      <c r="AG54" s="55" t="n"/>
      <c r="AH54" s="55">
        <f>AI54/AG54</f>
        <v/>
      </c>
      <c r="AI54" s="128" t="n"/>
      <c r="AJ54" s="58" t="n"/>
      <c r="AK54" s="58">
        <f>AL54/AJ54</f>
        <v/>
      </c>
      <c r="AL54" s="129" t="n"/>
      <c r="AM54" s="55" t="n"/>
      <c r="AN54" s="55">
        <f>AO54/AM54</f>
        <v/>
      </c>
      <c r="AO54" s="128" t="n"/>
      <c r="AP54" s="58" t="n"/>
      <c r="AQ54" s="58">
        <f>AR54/AP54</f>
        <v/>
      </c>
      <c r="AR54" s="129" t="n"/>
      <c r="AS54" s="55" t="n"/>
      <c r="AT54" s="55">
        <f>AU54/AS54</f>
        <v/>
      </c>
      <c r="AU54" s="128" t="n"/>
      <c r="AV54" s="58" t="n"/>
      <c r="AW54" s="58">
        <f>AX54/AV54</f>
        <v/>
      </c>
      <c r="AX54" s="129" t="n"/>
      <c r="AY54" s="55" t="n"/>
      <c r="AZ54" s="55">
        <f>BA54/AY54</f>
        <v/>
      </c>
      <c r="BA54" s="55" t="n"/>
      <c r="BB54" s="58" t="n"/>
      <c r="BC54" s="58">
        <f>BD54/BB54</f>
        <v/>
      </c>
      <c r="BD54" s="58" t="n"/>
      <c r="BE54" s="55" t="n"/>
      <c r="BF54" s="55">
        <f>BG54/BE54</f>
        <v/>
      </c>
      <c r="BG54" s="128" t="n"/>
      <c r="BH54" s="58" t="n"/>
      <c r="BI54" s="58">
        <f>BJ54/BH54</f>
        <v/>
      </c>
      <c r="BJ54" s="129" t="n"/>
      <c r="BK54" s="56" t="n"/>
      <c r="BL54" s="56">
        <f>BM54/BK54</f>
        <v/>
      </c>
      <c r="BM54" s="131" t="n"/>
      <c r="BN54" s="58" t="n"/>
      <c r="BO54" s="58">
        <f>BP54/BN54</f>
        <v/>
      </c>
      <c r="BP54" s="129" t="n"/>
      <c r="BQ54" s="55" t="n"/>
      <c r="BR54" s="55">
        <f>BS54/BQ54</f>
        <v/>
      </c>
      <c r="BS54" s="128" t="n"/>
      <c r="BT54" s="58" t="n"/>
      <c r="BU54" s="58">
        <f>BV54/BT54</f>
        <v/>
      </c>
      <c r="BV54" s="129" t="n"/>
      <c r="BW54" s="55" t="n"/>
      <c r="BX54" s="55">
        <f>BY54/BW54</f>
        <v/>
      </c>
      <c r="BY54" s="128" t="n"/>
      <c r="BZ54" s="58" t="n"/>
      <c r="CA54" s="58">
        <f>CB54/BZ54</f>
        <v/>
      </c>
      <c r="CB54" s="129" t="n"/>
      <c r="CC54" s="55" t="n"/>
      <c r="CD54" s="55">
        <f>CE54/CC54</f>
        <v/>
      </c>
      <c r="CE54" s="128" t="n"/>
      <c r="CF54" s="58" t="n"/>
      <c r="CG54" s="58">
        <f>CH54/CF54</f>
        <v/>
      </c>
      <c r="CH54" s="129" t="n"/>
      <c r="CI54" s="55" t="n"/>
      <c r="CJ54" s="55">
        <f>CK54/CI54</f>
        <v/>
      </c>
      <c r="CK54" s="128" t="n"/>
      <c r="CL54" s="58" t="n"/>
      <c r="CM54" s="58">
        <f>CN54/CL54</f>
        <v/>
      </c>
      <c r="CN54" s="129" t="n"/>
      <c r="CO54" s="55" t="n"/>
      <c r="CP54" s="55">
        <f>CQ54/CO54</f>
        <v/>
      </c>
      <c r="CQ54" s="128" t="n"/>
      <c r="CR54" s="58" t="n"/>
      <c r="CS54" s="58">
        <f>CT54/CR54</f>
        <v/>
      </c>
      <c r="CT54" s="129" t="n"/>
      <c r="CU54" s="55" t="n"/>
      <c r="CV54" s="55">
        <f>CW54/CU54</f>
        <v/>
      </c>
      <c r="CW54" s="55" t="n"/>
    </row>
    <row r="55" ht="15" customHeight="1" s="3">
      <c r="A55" s="13" t="n">
        <v>53</v>
      </c>
      <c r="B55" s="13" t="inlineStr">
        <is>
          <t>ZC000038</t>
        </is>
      </c>
      <c r="C55" s="13" t="inlineStr">
        <is>
          <t>食品类</t>
        </is>
      </c>
      <c r="D55" s="13" t="inlineStr">
        <is>
          <t>麻油</t>
        </is>
      </c>
      <c r="E55" s="13" t="inlineStr">
        <is>
          <t>瓶</t>
        </is>
      </c>
      <c r="F55" s="6">
        <f>I55+L55+O55+R55+U55+X55+AA55+AD55+AG55+AJ55+AM55+AP55+AS55+AV55+AY55+BB55+BE55+BH55+BK55+BN55+BQ55+BT55+BW55+BZ55+CC55+CF55+CI55+CL55+CO55+CR55+CU55</f>
        <v/>
      </c>
      <c r="G55" s="128">
        <f>H55/F55</f>
        <v/>
      </c>
      <c r="H55" s="6">
        <f>K55+N55+Q55+T55+W55+Z55+AC55+AF55+AI55+AL55+AO55+AR55+AU55+AX55+BA55+BD55+BG55+BJ55+BM55+BP55+BS55+BV55+BY55+CB55+CE55+CH55+CK55+CN55+CQ55+CT55+CW55</f>
        <v/>
      </c>
      <c r="I55" s="55" t="n"/>
      <c r="J55" s="55">
        <f>K55/I55</f>
        <v/>
      </c>
      <c r="K55" s="128" t="n"/>
      <c r="L55" s="56" t="n"/>
      <c r="M55" s="56">
        <f>N55/L55</f>
        <v/>
      </c>
      <c r="N55" s="131" t="n"/>
      <c r="O55" s="55" t="n"/>
      <c r="P55" s="55">
        <f>Q55/O55</f>
        <v/>
      </c>
      <c r="Q55" s="128" t="n"/>
      <c r="R55" s="58" t="n"/>
      <c r="S55" s="58">
        <f>T55/R55</f>
        <v/>
      </c>
      <c r="T55" s="129" t="n"/>
      <c r="U55" s="55" t="n"/>
      <c r="V55" s="55">
        <f>W55/U55</f>
        <v/>
      </c>
      <c r="W55" s="128" t="n"/>
      <c r="X55" s="58" t="n"/>
      <c r="Y55" s="58">
        <f>Z55/X55</f>
        <v/>
      </c>
      <c r="Z55" s="129" t="n"/>
      <c r="AA55" s="55" t="n"/>
      <c r="AB55" s="55">
        <f>AC55/AA55</f>
        <v/>
      </c>
      <c r="AC55" s="128" t="n"/>
      <c r="AD55" s="58" t="n"/>
      <c r="AE55" s="58">
        <f>AF55/AD55</f>
        <v/>
      </c>
      <c r="AF55" s="129" t="n"/>
      <c r="AG55" s="55" t="n"/>
      <c r="AH55" s="55">
        <f>AI55/AG55</f>
        <v/>
      </c>
      <c r="AI55" s="128" t="n"/>
      <c r="AJ55" s="58" t="n"/>
      <c r="AK55" s="58">
        <f>AL55/AJ55</f>
        <v/>
      </c>
      <c r="AL55" s="129" t="n"/>
      <c r="AM55" s="55" t="n"/>
      <c r="AN55" s="55">
        <f>AO55/AM55</f>
        <v/>
      </c>
      <c r="AO55" s="128" t="n"/>
      <c r="AP55" s="58" t="n"/>
      <c r="AQ55" s="58">
        <f>AR55/AP55</f>
        <v/>
      </c>
      <c r="AR55" s="129" t="n"/>
      <c r="AS55" s="55" t="n"/>
      <c r="AT55" s="55">
        <f>AU55/AS55</f>
        <v/>
      </c>
      <c r="AU55" s="128" t="n"/>
      <c r="AV55" s="58" t="n"/>
      <c r="AW55" s="58">
        <f>AX55/AV55</f>
        <v/>
      </c>
      <c r="AX55" s="129" t="n"/>
      <c r="AY55" s="55" t="n"/>
      <c r="AZ55" s="55">
        <f>BA55/AY55</f>
        <v/>
      </c>
      <c r="BA55" s="55" t="n"/>
      <c r="BB55" s="58" t="n"/>
      <c r="BC55" s="58">
        <f>BD55/BB55</f>
        <v/>
      </c>
      <c r="BD55" s="58" t="n"/>
      <c r="BE55" s="55" t="n"/>
      <c r="BF55" s="55">
        <f>BG55/BE55</f>
        <v/>
      </c>
      <c r="BG55" s="128" t="n"/>
      <c r="BH55" s="58" t="n"/>
      <c r="BI55" s="58">
        <f>BJ55/BH55</f>
        <v/>
      </c>
      <c r="BJ55" s="129" t="n"/>
      <c r="BK55" s="56" t="n"/>
      <c r="BL55" s="56">
        <f>BM55/BK55</f>
        <v/>
      </c>
      <c r="BM55" s="131" t="n"/>
      <c r="BN55" s="58" t="n"/>
      <c r="BO55" s="58">
        <f>BP55/BN55</f>
        <v/>
      </c>
      <c r="BP55" s="129" t="n"/>
      <c r="BQ55" s="55" t="n"/>
      <c r="BR55" s="55">
        <f>BS55/BQ55</f>
        <v/>
      </c>
      <c r="BS55" s="128" t="n"/>
      <c r="BT55" s="58" t="n"/>
      <c r="BU55" s="58">
        <f>BV55/BT55</f>
        <v/>
      </c>
      <c r="BV55" s="129" t="n"/>
      <c r="BW55" s="55" t="n"/>
      <c r="BX55" s="55">
        <f>BY55/BW55</f>
        <v/>
      </c>
      <c r="BY55" s="128" t="n"/>
      <c r="BZ55" s="58" t="n"/>
      <c r="CA55" s="58">
        <f>CB55/BZ55</f>
        <v/>
      </c>
      <c r="CB55" s="129" t="n"/>
      <c r="CC55" s="55" t="n"/>
      <c r="CD55" s="55">
        <f>CE55/CC55</f>
        <v/>
      </c>
      <c r="CE55" s="128" t="n"/>
      <c r="CF55" s="58" t="n"/>
      <c r="CG55" s="58">
        <f>CH55/CF55</f>
        <v/>
      </c>
      <c r="CH55" s="129" t="n"/>
      <c r="CI55" s="55" t="n"/>
      <c r="CJ55" s="55">
        <f>CK55/CI55</f>
        <v/>
      </c>
      <c r="CK55" s="128" t="n"/>
      <c r="CL55" s="58" t="n"/>
      <c r="CM55" s="58">
        <f>CN55/CL55</f>
        <v/>
      </c>
      <c r="CN55" s="129" t="n"/>
      <c r="CO55" s="55" t="n"/>
      <c r="CP55" s="55">
        <f>CQ55/CO55</f>
        <v/>
      </c>
      <c r="CQ55" s="128" t="n"/>
      <c r="CR55" s="58" t="n"/>
      <c r="CS55" s="58">
        <f>CT55/CR55</f>
        <v/>
      </c>
      <c r="CT55" s="129" t="n"/>
      <c r="CU55" s="55" t="n"/>
      <c r="CV55" s="55">
        <f>CW55/CU55</f>
        <v/>
      </c>
      <c r="CW55" s="55" t="n"/>
    </row>
    <row r="56">
      <c r="A56" s="13" t="n">
        <v>54</v>
      </c>
      <c r="B56" s="13" t="inlineStr">
        <is>
          <t>ZC000039</t>
        </is>
      </c>
      <c r="C56" s="13" t="inlineStr">
        <is>
          <t>食品类</t>
        </is>
      </c>
      <c r="D56" s="13" t="inlineStr">
        <is>
          <t>十三香</t>
        </is>
      </c>
      <c r="E56" s="13" t="inlineStr">
        <is>
          <t>盒</t>
        </is>
      </c>
      <c r="F56" s="6">
        <f>I56+L56+O56+R56+U56+X56+AA56+AD56+AG56+AJ56+AM56+AP56+AS56+AV56+AY56+BB56+BE56+BH56+BK56+BN56+BQ56+BT56+BW56+BZ56+CC56+CF56+CI56+CL56+CO56+CR56+CU56</f>
        <v/>
      </c>
      <c r="G56" s="128">
        <f>H56/F56</f>
        <v/>
      </c>
      <c r="H56" s="6">
        <f>K56+N56+Q56+T56+W56+Z56+AC56+AF56+AI56+AL56+AO56+AR56+AU56+AX56+BA56+BD56+BG56+BJ56+BM56+BP56+BS56+BV56+BY56+CB56+CE56+CH56+CK56+CN56+CQ56+CT56+CW56</f>
        <v/>
      </c>
      <c r="I56" s="55" t="n"/>
      <c r="J56" s="55">
        <f>K56/I56</f>
        <v/>
      </c>
      <c r="K56" s="128" t="n"/>
      <c r="L56" s="56" t="n"/>
      <c r="M56" s="56">
        <f>N56/L56</f>
        <v/>
      </c>
      <c r="N56" s="131" t="n"/>
      <c r="O56" s="55" t="n"/>
      <c r="P56" s="55">
        <f>Q56/O56</f>
        <v/>
      </c>
      <c r="Q56" s="128" t="n"/>
      <c r="R56" s="58" t="n"/>
      <c r="S56" s="58">
        <f>T56/R56</f>
        <v/>
      </c>
      <c r="T56" s="129" t="n"/>
      <c r="U56" s="55" t="n"/>
      <c r="V56" s="55">
        <f>W56/U56</f>
        <v/>
      </c>
      <c r="W56" s="128" t="n"/>
      <c r="X56" s="58" t="n"/>
      <c r="Y56" s="58">
        <f>Z56/X56</f>
        <v/>
      </c>
      <c r="Z56" s="129" t="n"/>
      <c r="AA56" s="55" t="n"/>
      <c r="AB56" s="55">
        <f>AC56/AA56</f>
        <v/>
      </c>
      <c r="AC56" s="128" t="n"/>
      <c r="AD56" s="58" t="n"/>
      <c r="AE56" s="58">
        <f>AF56/AD56</f>
        <v/>
      </c>
      <c r="AF56" s="129" t="n"/>
      <c r="AG56" s="55" t="n"/>
      <c r="AH56" s="55">
        <f>AI56/AG56</f>
        <v/>
      </c>
      <c r="AI56" s="128" t="n"/>
      <c r="AJ56" s="58" t="n"/>
      <c r="AK56" s="58">
        <f>AL56/AJ56</f>
        <v/>
      </c>
      <c r="AL56" s="129" t="n"/>
      <c r="AM56" s="55" t="n"/>
      <c r="AN56" s="55">
        <f>AO56/AM56</f>
        <v/>
      </c>
      <c r="AO56" s="128" t="n"/>
      <c r="AP56" s="58" t="n"/>
      <c r="AQ56" s="58">
        <f>AR56/AP56</f>
        <v/>
      </c>
      <c r="AR56" s="129" t="n"/>
      <c r="AS56" s="55" t="n"/>
      <c r="AT56" s="55">
        <f>AU56/AS56</f>
        <v/>
      </c>
      <c r="AU56" s="128" t="n"/>
      <c r="AV56" s="58" t="n"/>
      <c r="AW56" s="58">
        <f>AX56/AV56</f>
        <v/>
      </c>
      <c r="AX56" s="129" t="n"/>
      <c r="AY56" s="55" t="n"/>
      <c r="AZ56" s="55">
        <f>BA56/AY56</f>
        <v/>
      </c>
      <c r="BA56" s="55" t="n"/>
      <c r="BB56" s="58" t="n"/>
      <c r="BC56" s="58">
        <f>BD56/BB56</f>
        <v/>
      </c>
      <c r="BD56" s="58" t="n"/>
      <c r="BE56" s="55" t="n"/>
      <c r="BF56" s="55">
        <f>BG56/BE56</f>
        <v/>
      </c>
      <c r="BG56" s="128" t="n"/>
      <c r="BH56" s="58" t="n"/>
      <c r="BI56" s="58">
        <f>BJ56/BH56</f>
        <v/>
      </c>
      <c r="BJ56" s="129" t="n"/>
      <c r="BK56" s="56" t="n"/>
      <c r="BL56" s="56">
        <f>BM56/BK56</f>
        <v/>
      </c>
      <c r="BM56" s="131" t="n"/>
      <c r="BN56" s="58" t="n"/>
      <c r="BO56" s="58">
        <f>BP56/BN56</f>
        <v/>
      </c>
      <c r="BP56" s="129" t="n"/>
      <c r="BQ56" s="55" t="n"/>
      <c r="BR56" s="55">
        <f>BS56/BQ56</f>
        <v/>
      </c>
      <c r="BS56" s="128" t="n"/>
      <c r="BT56" s="58" t="n"/>
      <c r="BU56" s="58">
        <f>BV56/BT56</f>
        <v/>
      </c>
      <c r="BV56" s="129" t="n"/>
      <c r="BW56" s="55" t="n"/>
      <c r="BX56" s="55">
        <f>BY56/BW56</f>
        <v/>
      </c>
      <c r="BY56" s="128" t="n"/>
      <c r="BZ56" s="58" t="n"/>
      <c r="CA56" s="58">
        <f>CB56/BZ56</f>
        <v/>
      </c>
      <c r="CB56" s="129" t="n"/>
      <c r="CC56" s="55" t="n"/>
      <c r="CD56" s="55">
        <f>CE56/CC56</f>
        <v/>
      </c>
      <c r="CE56" s="128" t="n"/>
      <c r="CF56" s="58" t="n"/>
      <c r="CG56" s="58">
        <f>CH56/CF56</f>
        <v/>
      </c>
      <c r="CH56" s="129" t="n"/>
      <c r="CI56" s="55" t="n"/>
      <c r="CJ56" s="55">
        <f>CK56/CI56</f>
        <v/>
      </c>
      <c r="CK56" s="128" t="n"/>
      <c r="CL56" s="58" t="n"/>
      <c r="CM56" s="58">
        <f>CN56/CL56</f>
        <v/>
      </c>
      <c r="CN56" s="129" t="n"/>
      <c r="CO56" s="55" t="n"/>
      <c r="CP56" s="55">
        <f>CQ56/CO56</f>
        <v/>
      </c>
      <c r="CQ56" s="128" t="n"/>
      <c r="CR56" s="58" t="n"/>
      <c r="CS56" s="58">
        <f>CT56/CR56</f>
        <v/>
      </c>
      <c r="CT56" s="129" t="n"/>
      <c r="CU56" s="55" t="n"/>
      <c r="CV56" s="55">
        <f>CW56/CU56</f>
        <v/>
      </c>
      <c r="CW56" s="55" t="n"/>
    </row>
    <row r="57">
      <c r="A57" s="13" t="n">
        <v>55</v>
      </c>
      <c r="B57" s="13" t="inlineStr">
        <is>
          <t>ZC000040</t>
        </is>
      </c>
      <c r="C57" s="13" t="inlineStr">
        <is>
          <t>易耗品</t>
        </is>
      </c>
      <c r="D57" s="13" t="inlineStr">
        <is>
          <t>洗涤剂1.118升</t>
        </is>
      </c>
      <c r="E57" s="13" t="inlineStr">
        <is>
          <t>桶</t>
        </is>
      </c>
      <c r="F57" s="6">
        <f>I57+L57+O57+R57+U57+X57+AA57+AD57+AG57+AJ57+AM57+AP57+AS57+AV57+AY57+BB57+BE57+BH57+BK57+BN57+BQ57+BT57+BW57+BZ57+CC57+CF57+CI57+CL57+CO57+CR57+CU57</f>
        <v/>
      </c>
      <c r="G57" s="128">
        <f>H57/F57</f>
        <v/>
      </c>
      <c r="H57" s="6">
        <f>K57+N57+Q57+T57+W57+Z57+AC57+AF57+AI57+AL57+AO57+AR57+AU57+AX57+BA57+BD57+BG57+BJ57+BM57+BP57+BS57+BV57+BY57+CB57+CE57+CH57+CK57+CN57+CQ57+CT57+CW57</f>
        <v/>
      </c>
      <c r="I57" s="55" t="n"/>
      <c r="J57" s="55">
        <f>K57/I57</f>
        <v/>
      </c>
      <c r="K57" s="128" t="n"/>
      <c r="L57" s="56" t="n"/>
      <c r="M57" s="56">
        <f>N57/L57</f>
        <v/>
      </c>
      <c r="N57" s="131" t="n"/>
      <c r="O57" s="55" t="n"/>
      <c r="P57" s="55">
        <f>Q57/O57</f>
        <v/>
      </c>
      <c r="Q57" s="128" t="n"/>
      <c r="R57" s="58" t="n"/>
      <c r="S57" s="58">
        <f>T57/R57</f>
        <v/>
      </c>
      <c r="T57" s="129" t="n"/>
      <c r="U57" s="55" t="n"/>
      <c r="V57" s="55">
        <f>W57/U57</f>
        <v/>
      </c>
      <c r="W57" s="128" t="n"/>
      <c r="X57" s="58" t="n"/>
      <c r="Y57" s="58">
        <f>Z57/X57</f>
        <v/>
      </c>
      <c r="Z57" s="129" t="n"/>
      <c r="AA57" s="55" t="n"/>
      <c r="AB57" s="55">
        <f>AC57/AA57</f>
        <v/>
      </c>
      <c r="AC57" s="128" t="n"/>
      <c r="AD57" s="58" t="n"/>
      <c r="AE57" s="58">
        <f>AF57/AD57</f>
        <v/>
      </c>
      <c r="AF57" s="129" t="n"/>
      <c r="AG57" s="55" t="n"/>
      <c r="AH57" s="55">
        <f>AI57/AG57</f>
        <v/>
      </c>
      <c r="AI57" s="128" t="n"/>
      <c r="AJ57" s="58" t="n"/>
      <c r="AK57" s="58">
        <f>AL57/AJ57</f>
        <v/>
      </c>
      <c r="AL57" s="129" t="n"/>
      <c r="AM57" s="55" t="n"/>
      <c r="AN57" s="55">
        <f>AO57/AM57</f>
        <v/>
      </c>
      <c r="AO57" s="128" t="n"/>
      <c r="AP57" s="58" t="n"/>
      <c r="AQ57" s="58">
        <f>AR57/AP57</f>
        <v/>
      </c>
      <c r="AR57" s="129" t="n"/>
      <c r="AS57" s="55" t="n"/>
      <c r="AT57" s="55">
        <f>AU57/AS57</f>
        <v/>
      </c>
      <c r="AU57" s="128" t="n"/>
      <c r="AV57" s="58" t="n"/>
      <c r="AW57" s="58">
        <f>AX57/AV57</f>
        <v/>
      </c>
      <c r="AX57" s="129" t="n"/>
      <c r="AY57" s="55" t="n"/>
      <c r="AZ57" s="55">
        <f>BA57/AY57</f>
        <v/>
      </c>
      <c r="BA57" s="55" t="n"/>
      <c r="BB57" s="58" t="n"/>
      <c r="BC57" s="58">
        <f>BD57/BB57</f>
        <v/>
      </c>
      <c r="BD57" s="58" t="n"/>
      <c r="BE57" s="55" t="n"/>
      <c r="BF57" s="55">
        <f>BG57/BE57</f>
        <v/>
      </c>
      <c r="BG57" s="128" t="n"/>
      <c r="BH57" s="58" t="n"/>
      <c r="BI57" s="58">
        <f>BJ57/BH57</f>
        <v/>
      </c>
      <c r="BJ57" s="129" t="n"/>
      <c r="BK57" s="56" t="n"/>
      <c r="BL57" s="56">
        <f>BM57/BK57</f>
        <v/>
      </c>
      <c r="BM57" s="131" t="n"/>
      <c r="BN57" s="58" t="n"/>
      <c r="BO57" s="58">
        <f>BP57/BN57</f>
        <v/>
      </c>
      <c r="BP57" s="129" t="n"/>
      <c r="BQ57" s="55" t="n"/>
      <c r="BR57" s="55">
        <f>BS57/BQ57</f>
        <v/>
      </c>
      <c r="BS57" s="128" t="n"/>
      <c r="BT57" s="58" t="n"/>
      <c r="BU57" s="58">
        <f>BV57/BT57</f>
        <v/>
      </c>
      <c r="BV57" s="129" t="n"/>
      <c r="BW57" s="55" t="n"/>
      <c r="BX57" s="55">
        <f>BY57/BW57</f>
        <v/>
      </c>
      <c r="BY57" s="128" t="n"/>
      <c r="BZ57" s="58" t="n"/>
      <c r="CA57" s="58">
        <f>CB57/BZ57</f>
        <v/>
      </c>
      <c r="CB57" s="129" t="n"/>
      <c r="CC57" s="55" t="n"/>
      <c r="CD57" s="55">
        <f>CE57/CC57</f>
        <v/>
      </c>
      <c r="CE57" s="128" t="n"/>
      <c r="CF57" s="58" t="n"/>
      <c r="CG57" s="58">
        <f>CH57/CF57</f>
        <v/>
      </c>
      <c r="CH57" s="129" t="n"/>
      <c r="CI57" s="55" t="n"/>
      <c r="CJ57" s="55">
        <f>CK57/CI57</f>
        <v/>
      </c>
      <c r="CK57" s="128" t="n"/>
      <c r="CL57" s="58" t="n"/>
      <c r="CM57" s="58">
        <f>CN57/CL57</f>
        <v/>
      </c>
      <c r="CN57" s="129" t="n"/>
      <c r="CO57" s="55" t="n"/>
      <c r="CP57" s="55">
        <f>CQ57/CO57</f>
        <v/>
      </c>
      <c r="CQ57" s="128" t="n"/>
      <c r="CR57" s="58" t="n"/>
      <c r="CS57" s="58">
        <f>CT57/CR57</f>
        <v/>
      </c>
      <c r="CT57" s="129" t="n"/>
      <c r="CU57" s="55" t="n"/>
      <c r="CV57" s="55">
        <f>CW57/CU57</f>
        <v/>
      </c>
      <c r="CW57" s="55" t="n"/>
    </row>
    <row r="58">
      <c r="A58" s="13" t="n">
        <v>56</v>
      </c>
      <c r="B58" s="13" t="inlineStr">
        <is>
          <t>ZC000041</t>
        </is>
      </c>
      <c r="C58" s="13" t="inlineStr">
        <is>
          <t>食品类</t>
        </is>
      </c>
      <c r="D58" s="13" t="inlineStr">
        <is>
          <t>玉米生粉</t>
        </is>
      </c>
      <c r="E58" s="13" t="inlineStr">
        <is>
          <t>袋</t>
        </is>
      </c>
      <c r="F58" s="6">
        <f>I58+L58+O58+R58+U58+X58+AA58+AD58+AG58+AJ58+AM58+AP58+AS58+AV58+AY58+BB58+BE58+BH58+BK58+BN58+BQ58+BT58+BW58+BZ58+CC58+CF58+CI58+CL58+CO58+CR58+CU58</f>
        <v/>
      </c>
      <c r="G58" s="128">
        <f>H58/F58</f>
        <v/>
      </c>
      <c r="H58" s="6">
        <f>K58+N58+Q58+T58+W58+Z58+AC58+AF58+AI58+AL58+AO58+AR58+AU58+AX58+BA58+BD58+BG58+BJ58+BM58+BP58+BS58+BV58+BY58+CB58+CE58+CH58+CK58+CN58+CQ58+CT58+CW58</f>
        <v/>
      </c>
      <c r="I58" s="55" t="n"/>
      <c r="J58" s="55">
        <f>K58/I58</f>
        <v/>
      </c>
      <c r="K58" s="128" t="n"/>
      <c r="L58" s="56" t="n"/>
      <c r="M58" s="56">
        <f>N58/L58</f>
        <v/>
      </c>
      <c r="N58" s="131" t="n"/>
      <c r="O58" s="55" t="n"/>
      <c r="P58" s="55">
        <f>Q58/O58</f>
        <v/>
      </c>
      <c r="Q58" s="128" t="n"/>
      <c r="R58" s="58" t="n"/>
      <c r="S58" s="58">
        <f>T58/R58</f>
        <v/>
      </c>
      <c r="T58" s="129" t="n"/>
      <c r="U58" s="55" t="n"/>
      <c r="V58" s="55">
        <f>W58/U58</f>
        <v/>
      </c>
      <c r="W58" s="128" t="n"/>
      <c r="X58" s="58" t="n"/>
      <c r="Y58" s="58">
        <f>Z58/X58</f>
        <v/>
      </c>
      <c r="Z58" s="129" t="n"/>
      <c r="AA58" s="55" t="n"/>
      <c r="AB58" s="55">
        <f>AC58/AA58</f>
        <v/>
      </c>
      <c r="AC58" s="128" t="n"/>
      <c r="AD58" s="58" t="n"/>
      <c r="AE58" s="58">
        <f>AF58/AD58</f>
        <v/>
      </c>
      <c r="AF58" s="129" t="n"/>
      <c r="AG58" s="55" t="n"/>
      <c r="AH58" s="55">
        <f>AI58/AG58</f>
        <v/>
      </c>
      <c r="AI58" s="128" t="n"/>
      <c r="AJ58" s="58" t="n"/>
      <c r="AK58" s="58">
        <f>AL58/AJ58</f>
        <v/>
      </c>
      <c r="AL58" s="129" t="n"/>
      <c r="AM58" s="55" t="n"/>
      <c r="AN58" s="55">
        <f>AO58/AM58</f>
        <v/>
      </c>
      <c r="AO58" s="128" t="n"/>
      <c r="AP58" s="58" t="n"/>
      <c r="AQ58" s="58">
        <f>AR58/AP58</f>
        <v/>
      </c>
      <c r="AR58" s="129" t="n"/>
      <c r="AS58" s="55" t="n"/>
      <c r="AT58" s="55">
        <f>AU58/AS58</f>
        <v/>
      </c>
      <c r="AU58" s="128" t="n"/>
      <c r="AV58" s="58" t="n"/>
      <c r="AW58" s="58">
        <f>AX58/AV58</f>
        <v/>
      </c>
      <c r="AX58" s="129" t="n"/>
      <c r="AY58" s="55" t="n"/>
      <c r="AZ58" s="55">
        <f>BA58/AY58</f>
        <v/>
      </c>
      <c r="BA58" s="55" t="n"/>
      <c r="BB58" s="58" t="n"/>
      <c r="BC58" s="58">
        <f>BD58/BB58</f>
        <v/>
      </c>
      <c r="BD58" s="58" t="n"/>
      <c r="BE58" s="55" t="n"/>
      <c r="BF58" s="55">
        <f>BG58/BE58</f>
        <v/>
      </c>
      <c r="BG58" s="128" t="n"/>
      <c r="BH58" s="58" t="n"/>
      <c r="BI58" s="58">
        <f>BJ58/BH58</f>
        <v/>
      </c>
      <c r="BJ58" s="129" t="n"/>
      <c r="BK58" s="56" t="n"/>
      <c r="BL58" s="56">
        <f>BM58/BK58</f>
        <v/>
      </c>
      <c r="BM58" s="131" t="n"/>
      <c r="BN58" s="58" t="n"/>
      <c r="BO58" s="58">
        <f>BP58/BN58</f>
        <v/>
      </c>
      <c r="BP58" s="129" t="n"/>
      <c r="BQ58" s="55" t="n"/>
      <c r="BR58" s="55">
        <f>BS58/BQ58</f>
        <v/>
      </c>
      <c r="BS58" s="128" t="n"/>
      <c r="BT58" s="58" t="n"/>
      <c r="BU58" s="58">
        <f>BV58/BT58</f>
        <v/>
      </c>
      <c r="BV58" s="129" t="n"/>
      <c r="BW58" s="55" t="n"/>
      <c r="BX58" s="55">
        <f>BY58/BW58</f>
        <v/>
      </c>
      <c r="BY58" s="128" t="n"/>
      <c r="BZ58" s="58" t="n"/>
      <c r="CA58" s="58">
        <f>CB58/BZ58</f>
        <v/>
      </c>
      <c r="CB58" s="129" t="n"/>
      <c r="CC58" s="55" t="n"/>
      <c r="CD58" s="55">
        <f>CE58/CC58</f>
        <v/>
      </c>
      <c r="CE58" s="128" t="n"/>
      <c r="CF58" s="58" t="n"/>
      <c r="CG58" s="58">
        <f>CH58/CF58</f>
        <v/>
      </c>
      <c r="CH58" s="129" t="n"/>
      <c r="CI58" s="55" t="n"/>
      <c r="CJ58" s="55">
        <f>CK58/CI58</f>
        <v/>
      </c>
      <c r="CK58" s="128" t="n"/>
      <c r="CL58" s="58" t="n"/>
      <c r="CM58" s="58">
        <f>CN58/CL58</f>
        <v/>
      </c>
      <c r="CN58" s="129" t="n"/>
      <c r="CO58" s="55" t="n"/>
      <c r="CP58" s="55">
        <f>CQ58/CO58</f>
        <v/>
      </c>
      <c r="CQ58" s="128" t="n"/>
      <c r="CR58" s="58" t="n"/>
      <c r="CS58" s="58">
        <f>CT58/CR58</f>
        <v/>
      </c>
      <c r="CT58" s="129" t="n"/>
      <c r="CU58" s="55" t="n"/>
      <c r="CV58" s="55">
        <f>CW58/CU58</f>
        <v/>
      </c>
      <c r="CW58" s="55" t="n"/>
    </row>
    <row r="59">
      <c r="A59" s="13" t="n">
        <v>57</v>
      </c>
      <c r="B59" s="13" t="inlineStr">
        <is>
          <t>ZC000042</t>
        </is>
      </c>
      <c r="C59" s="13" t="inlineStr">
        <is>
          <t>食品类</t>
        </is>
      </c>
      <c r="D59" s="13" t="inlineStr">
        <is>
          <t>白砂糖</t>
        </is>
      </c>
      <c r="E59" s="13" t="inlineStr">
        <is>
          <t>袋</t>
        </is>
      </c>
      <c r="F59" s="6">
        <f>I59+L59+O59+R59+U59+X59+AA59+AD59+AG59+AJ59+AM59+AP59+AS59+AV59+AY59+BB59+BE59+BH59+BK59+BN59+BQ59+BT59+BW59+BZ59+CC59+CF59+CI59+CL59+CO59+CR59+CU59</f>
        <v/>
      </c>
      <c r="G59" s="128">
        <f>H59/F59</f>
        <v/>
      </c>
      <c r="H59" s="6">
        <f>K59+N59+Q59+T59+W59+Z59+AC59+AF59+AI59+AL59+AO59+AR59+AU59+AX59+BA59+BD59+BG59+BJ59+BM59+BP59+BS59+BV59+BY59+CB59+CE59+CH59+CK59+CN59+CQ59+CT59+CW59</f>
        <v/>
      </c>
      <c r="I59" s="55" t="n"/>
      <c r="J59" s="55">
        <f>K59/I59</f>
        <v/>
      </c>
      <c r="K59" s="128" t="n"/>
      <c r="L59" s="56" t="n"/>
      <c r="M59" s="56">
        <f>N59/L59</f>
        <v/>
      </c>
      <c r="N59" s="131" t="n"/>
      <c r="O59" s="55" t="n"/>
      <c r="P59" s="132">
        <f>Q59/O59</f>
        <v/>
      </c>
      <c r="Q59" s="128" t="n"/>
      <c r="R59" s="58" t="n"/>
      <c r="S59" s="58">
        <f>T59/R59</f>
        <v/>
      </c>
      <c r="T59" s="129" t="n"/>
      <c r="U59" s="55" t="n"/>
      <c r="V59" s="55">
        <f>W59/U59</f>
        <v/>
      </c>
      <c r="W59" s="128" t="n"/>
      <c r="X59" s="58" t="n"/>
      <c r="Y59" s="58">
        <f>Z59/X59</f>
        <v/>
      </c>
      <c r="Z59" s="129" t="n"/>
      <c r="AA59" s="55" t="n"/>
      <c r="AB59" s="55">
        <f>AC59/AA59</f>
        <v/>
      </c>
      <c r="AC59" s="128" t="n"/>
      <c r="AD59" s="58" t="n"/>
      <c r="AE59" s="58">
        <f>AF59/AD59</f>
        <v/>
      </c>
      <c r="AF59" s="129" t="n"/>
      <c r="AG59" s="55" t="n"/>
      <c r="AH59" s="55">
        <f>AI59/AG59</f>
        <v/>
      </c>
      <c r="AI59" s="128" t="n"/>
      <c r="AJ59" s="58" t="n"/>
      <c r="AK59" s="58">
        <f>AL59/AJ59</f>
        <v/>
      </c>
      <c r="AL59" s="129" t="n"/>
      <c r="AM59" s="55" t="n"/>
      <c r="AN59" s="55">
        <f>AO59/AM59</f>
        <v/>
      </c>
      <c r="AO59" s="128" t="n"/>
      <c r="AP59" s="58" t="n"/>
      <c r="AQ59" s="58">
        <f>AR59/AP59</f>
        <v/>
      </c>
      <c r="AR59" s="129" t="n"/>
      <c r="AS59" s="55" t="n"/>
      <c r="AT59" s="55">
        <f>AU59/AS59</f>
        <v/>
      </c>
      <c r="AU59" s="128" t="n"/>
      <c r="AV59" s="58" t="n"/>
      <c r="AW59" s="58">
        <f>AX59/AV59</f>
        <v/>
      </c>
      <c r="AX59" s="129" t="n"/>
      <c r="AY59" s="55" t="n"/>
      <c r="AZ59" s="55">
        <f>BA59/AY59</f>
        <v/>
      </c>
      <c r="BA59" s="55" t="n"/>
      <c r="BB59" s="58" t="n"/>
      <c r="BC59" s="58">
        <f>BD59/BB59</f>
        <v/>
      </c>
      <c r="BD59" s="58" t="n"/>
      <c r="BE59" s="55" t="n"/>
      <c r="BF59" s="55">
        <f>BG59/BE59</f>
        <v/>
      </c>
      <c r="BG59" s="128" t="n"/>
      <c r="BH59" s="58" t="n"/>
      <c r="BI59" s="58">
        <f>BJ59/BH59</f>
        <v/>
      </c>
      <c r="BJ59" s="129" t="n"/>
      <c r="BK59" s="56" t="n"/>
      <c r="BL59" s="56">
        <f>BM59/BK59</f>
        <v/>
      </c>
      <c r="BM59" s="131" t="n"/>
      <c r="BN59" s="58" t="n"/>
      <c r="BO59" s="58">
        <f>BP59/BN59</f>
        <v/>
      </c>
      <c r="BP59" s="129" t="n"/>
      <c r="BQ59" s="55" t="n"/>
      <c r="BR59" s="55">
        <f>BS59/BQ59</f>
        <v/>
      </c>
      <c r="BS59" s="128" t="n"/>
      <c r="BT59" s="58" t="n"/>
      <c r="BU59" s="58">
        <f>BV59/BT59</f>
        <v/>
      </c>
      <c r="BV59" s="129" t="n"/>
      <c r="BW59" s="55" t="n"/>
      <c r="BX59" s="55">
        <f>BY59/BW59</f>
        <v/>
      </c>
      <c r="BY59" s="128" t="n"/>
      <c r="BZ59" s="58" t="n"/>
      <c r="CA59" s="58">
        <f>CB59/BZ59</f>
        <v/>
      </c>
      <c r="CB59" s="129" t="n"/>
      <c r="CC59" s="55" t="n"/>
      <c r="CD59" s="55">
        <f>CE59/CC59</f>
        <v/>
      </c>
      <c r="CE59" s="128" t="n"/>
      <c r="CF59" s="58" t="n"/>
      <c r="CG59" s="58">
        <f>CH59/CF59</f>
        <v/>
      </c>
      <c r="CH59" s="129" t="n"/>
      <c r="CI59" s="55" t="n"/>
      <c r="CJ59" s="55">
        <f>CK59/CI59</f>
        <v/>
      </c>
      <c r="CK59" s="128" t="n"/>
      <c r="CL59" s="58" t="n"/>
      <c r="CM59" s="58">
        <f>CN59/CL59</f>
        <v/>
      </c>
      <c r="CN59" s="129" t="n"/>
      <c r="CO59" s="55" t="n"/>
      <c r="CP59" s="55">
        <f>CQ59/CO59</f>
        <v/>
      </c>
      <c r="CQ59" s="128" t="n"/>
      <c r="CR59" s="58" t="n"/>
      <c r="CS59" s="58">
        <f>CT59/CR59</f>
        <v/>
      </c>
      <c r="CT59" s="129" t="n"/>
      <c r="CU59" s="55" t="n"/>
      <c r="CV59" s="55">
        <f>CW59/CU59</f>
        <v/>
      </c>
      <c r="CW59" s="55" t="n"/>
    </row>
    <row r="60">
      <c r="A60" s="13" t="n">
        <v>58</v>
      </c>
      <c r="B60" s="13" t="inlineStr">
        <is>
          <t>ZC000043</t>
        </is>
      </c>
      <c r="C60" s="13" t="inlineStr">
        <is>
          <t>食品类</t>
        </is>
      </c>
      <c r="D60" s="13" t="inlineStr">
        <is>
          <t>芝麻油</t>
        </is>
      </c>
      <c r="E60" s="13" t="inlineStr">
        <is>
          <t>瓶</t>
        </is>
      </c>
      <c r="F60" s="6">
        <f>I60+L60+O60+R60+U60+X60+AA60+AD60+AG60+AJ60+AM60+AP60+AS60+AV60+AY60+BB60+BE60+BH60+BK60+BN60+BQ60+BT60+BW60+BZ60+CC60+CF60+CI60+CL60+CO60+CR60+CU60</f>
        <v/>
      </c>
      <c r="G60" s="128">
        <f>H60/F60</f>
        <v/>
      </c>
      <c r="H60" s="6">
        <f>K60+N60+Q60+T60+W60+Z60+AC60+AF60+AI60+AL60+AO60+AR60+AU60+AX60+BA60+BD60+BG60+BJ60+BM60+BP60+BS60+BV60+BY60+CB60+CE60+CH60+CK60+CN60+CQ60+CT60+CW60</f>
        <v/>
      </c>
      <c r="I60" s="55" t="n"/>
      <c r="J60" s="55">
        <f>K60/I60</f>
        <v/>
      </c>
      <c r="K60" s="128" t="n"/>
      <c r="L60" s="56" t="n"/>
      <c r="M60" s="56">
        <f>N60/L60</f>
        <v/>
      </c>
      <c r="N60" s="131" t="n"/>
      <c r="O60" s="55" t="n"/>
      <c r="P60" s="55">
        <f>Q60/O60</f>
        <v/>
      </c>
      <c r="Q60" s="128" t="n"/>
      <c r="R60" s="58" t="n"/>
      <c r="S60" s="58">
        <f>T60/R60</f>
        <v/>
      </c>
      <c r="T60" s="129" t="n"/>
      <c r="U60" s="55" t="n"/>
      <c r="V60" s="55">
        <f>W60/U60</f>
        <v/>
      </c>
      <c r="W60" s="128" t="n"/>
      <c r="X60" s="58" t="n"/>
      <c r="Y60" s="58">
        <f>Z60/X60</f>
        <v/>
      </c>
      <c r="Z60" s="129" t="n"/>
      <c r="AA60" s="55" t="n"/>
      <c r="AB60" s="55">
        <f>AC60/AA60</f>
        <v/>
      </c>
      <c r="AC60" s="128" t="n"/>
      <c r="AD60" s="58" t="n"/>
      <c r="AE60" s="58">
        <f>AF60/AD60</f>
        <v/>
      </c>
      <c r="AF60" s="129" t="n"/>
      <c r="AG60" s="55" t="n"/>
      <c r="AH60" s="55">
        <f>AI60/AG60</f>
        <v/>
      </c>
      <c r="AI60" s="128" t="n"/>
      <c r="AJ60" s="58" t="n"/>
      <c r="AK60" s="58">
        <f>AL60/AJ60</f>
        <v/>
      </c>
      <c r="AL60" s="129" t="n"/>
      <c r="AM60" s="55" t="n"/>
      <c r="AN60" s="55">
        <f>AO60/AM60</f>
        <v/>
      </c>
      <c r="AO60" s="128" t="n"/>
      <c r="AP60" s="58" t="n"/>
      <c r="AQ60" s="58">
        <f>AR60/AP60</f>
        <v/>
      </c>
      <c r="AR60" s="129" t="n"/>
      <c r="AS60" s="55" t="n"/>
      <c r="AT60" s="55">
        <f>AU60/AS60</f>
        <v/>
      </c>
      <c r="AU60" s="128" t="n"/>
      <c r="AV60" s="58" t="n"/>
      <c r="AW60" s="58">
        <f>AX60/AV60</f>
        <v/>
      </c>
      <c r="AX60" s="129" t="n"/>
      <c r="AY60" s="55" t="n"/>
      <c r="AZ60" s="55">
        <f>BA60/AY60</f>
        <v/>
      </c>
      <c r="BA60" s="55" t="n"/>
      <c r="BB60" s="58" t="n"/>
      <c r="BC60" s="58">
        <f>BD60/BB60</f>
        <v/>
      </c>
      <c r="BD60" s="58" t="n"/>
      <c r="BE60" s="55" t="n"/>
      <c r="BF60" s="55">
        <f>BG60/BE60</f>
        <v/>
      </c>
      <c r="BG60" s="128" t="n"/>
      <c r="BH60" s="58" t="n"/>
      <c r="BI60" s="58">
        <f>BJ60/BH60</f>
        <v/>
      </c>
      <c r="BJ60" s="129" t="n"/>
      <c r="BK60" s="56" t="n"/>
      <c r="BL60" s="56">
        <f>BM60/BK60</f>
        <v/>
      </c>
      <c r="BM60" s="131" t="n"/>
      <c r="BN60" s="58" t="n"/>
      <c r="BO60" s="58">
        <f>BP60/BN60</f>
        <v/>
      </c>
      <c r="BP60" s="129" t="n"/>
      <c r="BQ60" s="55" t="n"/>
      <c r="BR60" s="55">
        <f>BS60/BQ60</f>
        <v/>
      </c>
      <c r="BS60" s="128" t="n"/>
      <c r="BT60" s="58" t="n"/>
      <c r="BU60" s="58">
        <f>BV60/BT60</f>
        <v/>
      </c>
      <c r="BV60" s="129" t="n"/>
      <c r="BW60" s="55" t="n"/>
      <c r="BX60" s="55">
        <f>BY60/BW60</f>
        <v/>
      </c>
      <c r="BY60" s="128" t="n"/>
      <c r="BZ60" s="58" t="n"/>
      <c r="CA60" s="58">
        <f>CB60/BZ60</f>
        <v/>
      </c>
      <c r="CB60" s="129" t="n"/>
      <c r="CC60" s="55" t="n"/>
      <c r="CD60" s="55">
        <f>CE60/CC60</f>
        <v/>
      </c>
      <c r="CE60" s="128" t="n"/>
      <c r="CF60" s="58" t="n"/>
      <c r="CG60" s="58">
        <f>CH60/CF60</f>
        <v/>
      </c>
      <c r="CH60" s="129" t="n"/>
      <c r="CI60" s="55" t="n"/>
      <c r="CJ60" s="55">
        <f>CK60/CI60</f>
        <v/>
      </c>
      <c r="CK60" s="128" t="n"/>
      <c r="CL60" s="58" t="n"/>
      <c r="CM60" s="58">
        <f>CN60/CL60</f>
        <v/>
      </c>
      <c r="CN60" s="129" t="n"/>
      <c r="CO60" s="55" t="n"/>
      <c r="CP60" s="55">
        <f>CQ60/CO60</f>
        <v/>
      </c>
      <c r="CQ60" s="128" t="n"/>
      <c r="CR60" s="58" t="n"/>
      <c r="CS60" s="58">
        <f>CT60/CR60</f>
        <v/>
      </c>
      <c r="CT60" s="129" t="n"/>
      <c r="CU60" s="55" t="n"/>
      <c r="CV60" s="55">
        <f>CW60/CU60</f>
        <v/>
      </c>
      <c r="CW60" s="55" t="n"/>
    </row>
    <row r="61">
      <c r="A61" s="13" t="n">
        <v>59</v>
      </c>
      <c r="B61" s="13" t="inlineStr">
        <is>
          <t>ZC000044</t>
        </is>
      </c>
      <c r="C61" s="13" t="inlineStr">
        <is>
          <t>食品类</t>
        </is>
      </c>
      <c r="D61" s="13" t="inlineStr">
        <is>
          <t>大葱</t>
        </is>
      </c>
      <c r="E61" s="13" t="inlineStr">
        <is>
          <t>斤</t>
        </is>
      </c>
      <c r="F61" s="6">
        <f>I61+L61+O61+R61+U61+X61+AA61+AD61+AG61+AJ61+AM61+AP61+AS61+AV61+AY61+BB61+BE61+BH61+BK61+BN61+BQ61+BT61+BW61+BZ61+CC61+CF61+CI61+CL61+CO61+CR61+CU61</f>
        <v/>
      </c>
      <c r="G61" s="128">
        <f>H61/F61</f>
        <v/>
      </c>
      <c r="H61" s="6">
        <f>K61+N61+Q61+T61+W61+Z61+AC61+AF61+AI61+AL61+AO61+AR61+AU61+AX61+BA61+BD61+BG61+BJ61+BM61+BP61+BS61+BV61+BY61+CB61+CE61+CH61+CK61+CN61+CQ61+CT61+CW61</f>
        <v/>
      </c>
      <c r="I61" s="55" t="n"/>
      <c r="J61" s="55">
        <f>K61/I61</f>
        <v/>
      </c>
      <c r="K61" s="128" t="n"/>
      <c r="L61" s="56" t="n"/>
      <c r="M61" s="56">
        <f>N61/L61</f>
        <v/>
      </c>
      <c r="N61" s="131" t="n"/>
      <c r="O61" s="55" t="n"/>
      <c r="P61" s="55">
        <f>Q61/O61</f>
        <v/>
      </c>
      <c r="Q61" s="128" t="n"/>
      <c r="R61" s="58" t="n"/>
      <c r="S61" s="58">
        <f>T61/R61</f>
        <v/>
      </c>
      <c r="T61" s="129" t="n"/>
      <c r="U61" s="55" t="n"/>
      <c r="V61" s="55">
        <f>W61/U61</f>
        <v/>
      </c>
      <c r="W61" s="128" t="n"/>
      <c r="X61" s="58" t="n"/>
      <c r="Y61" s="58">
        <f>Z61/X61</f>
        <v/>
      </c>
      <c r="Z61" s="129" t="n"/>
      <c r="AA61" s="55" t="n"/>
      <c r="AB61" s="55">
        <f>AC61/AA61</f>
        <v/>
      </c>
      <c r="AC61" s="128" t="n"/>
      <c r="AD61" s="58" t="n"/>
      <c r="AE61" s="58">
        <f>AF61/AD61</f>
        <v/>
      </c>
      <c r="AF61" s="129" t="n"/>
      <c r="AG61" s="55" t="n"/>
      <c r="AH61" s="55">
        <f>AI61/AG61</f>
        <v/>
      </c>
      <c r="AI61" s="128" t="n"/>
      <c r="AJ61" s="58" t="n"/>
      <c r="AK61" s="58">
        <f>AL61/AJ61</f>
        <v/>
      </c>
      <c r="AL61" s="129" t="n"/>
      <c r="AM61" s="55" t="n"/>
      <c r="AN61" s="55">
        <f>AO61/AM61</f>
        <v/>
      </c>
      <c r="AO61" s="128" t="n"/>
      <c r="AP61" s="58" t="n"/>
      <c r="AQ61" s="58">
        <f>AR61/AP61</f>
        <v/>
      </c>
      <c r="AR61" s="129" t="n"/>
      <c r="AS61" s="55" t="n"/>
      <c r="AT61" s="55">
        <f>AU61/AS61</f>
        <v/>
      </c>
      <c r="AU61" s="128" t="n"/>
      <c r="AV61" s="58" t="n"/>
      <c r="AW61" s="58">
        <f>AX61/AV61</f>
        <v/>
      </c>
      <c r="AX61" s="129" t="n"/>
      <c r="AY61" s="55" t="n"/>
      <c r="AZ61" s="55">
        <f>BA61/AY61</f>
        <v/>
      </c>
      <c r="BA61" s="55" t="n"/>
      <c r="BB61" s="58" t="n"/>
      <c r="BC61" s="58">
        <f>BD61/BB61</f>
        <v/>
      </c>
      <c r="BD61" s="58" t="n"/>
      <c r="BE61" s="55" t="n"/>
      <c r="BF61" s="55">
        <f>BG61/BE61</f>
        <v/>
      </c>
      <c r="BG61" s="128" t="n"/>
      <c r="BH61" s="58" t="n"/>
      <c r="BI61" s="58">
        <f>BJ61/BH61</f>
        <v/>
      </c>
      <c r="BJ61" s="129" t="n"/>
      <c r="BK61" s="56" t="n"/>
      <c r="BL61" s="56">
        <f>BM61/BK61</f>
        <v/>
      </c>
      <c r="BM61" s="131" t="n"/>
      <c r="BN61" s="58" t="n"/>
      <c r="BO61" s="58">
        <f>BP61/BN61</f>
        <v/>
      </c>
      <c r="BP61" s="129" t="n"/>
      <c r="BQ61" s="55" t="n"/>
      <c r="BR61" s="55">
        <f>BS61/BQ61</f>
        <v/>
      </c>
      <c r="BS61" s="128" t="n"/>
      <c r="BT61" s="58" t="n"/>
      <c r="BU61" s="58">
        <f>BV61/BT61</f>
        <v/>
      </c>
      <c r="BV61" s="129" t="n"/>
      <c r="BW61" s="55" t="n"/>
      <c r="BX61" s="55">
        <f>BY61/BW61</f>
        <v/>
      </c>
      <c r="BY61" s="128" t="n"/>
      <c r="BZ61" s="58" t="n"/>
      <c r="CA61" s="58">
        <f>CB61/BZ61</f>
        <v/>
      </c>
      <c r="CB61" s="129" t="n"/>
      <c r="CC61" s="55" t="n"/>
      <c r="CD61" s="55">
        <f>CE61/CC61</f>
        <v/>
      </c>
      <c r="CE61" s="128" t="n"/>
      <c r="CF61" s="58" t="n"/>
      <c r="CG61" s="58">
        <f>CH61/CF61</f>
        <v/>
      </c>
      <c r="CH61" s="129" t="n"/>
      <c r="CI61" s="55" t="n"/>
      <c r="CJ61" s="55">
        <f>CK61/CI61</f>
        <v/>
      </c>
      <c r="CK61" s="128" t="n"/>
      <c r="CL61" s="58" t="n"/>
      <c r="CM61" s="58">
        <f>CN61/CL61</f>
        <v/>
      </c>
      <c r="CN61" s="129" t="n"/>
      <c r="CO61" s="55" t="n"/>
      <c r="CP61" s="55">
        <f>CQ61/CO61</f>
        <v/>
      </c>
      <c r="CQ61" s="128" t="n"/>
      <c r="CR61" s="58" t="n"/>
      <c r="CS61" s="58">
        <f>CT61/CR61</f>
        <v/>
      </c>
      <c r="CT61" s="129" t="n"/>
      <c r="CU61" s="55" t="n"/>
      <c r="CV61" s="55">
        <f>CW61/CU61</f>
        <v/>
      </c>
      <c r="CW61" s="55" t="n"/>
    </row>
    <row r="62">
      <c r="A62" s="13" t="n">
        <v>60</v>
      </c>
      <c r="B62" s="13" t="inlineStr">
        <is>
          <t>ZC000045</t>
        </is>
      </c>
      <c r="C62" s="13" t="inlineStr">
        <is>
          <t>食品类</t>
        </is>
      </c>
      <c r="D62" s="13" t="inlineStr">
        <is>
          <t>干辣椒</t>
        </is>
      </c>
      <c r="E62" s="13" t="inlineStr">
        <is>
          <t>斤</t>
        </is>
      </c>
      <c r="F62" s="6">
        <f>I62+L62+O62+R62+U62+X62+AA62+AD62+AG62+AJ62+AM62+AP62+AS62+AV62+AY62+BB62+BE62+BH62+BK62+BN62+BQ62+BT62+BW62+BZ62+CC62+CF62+CI62+CL62+CO62+CR62+CU62</f>
        <v/>
      </c>
      <c r="G62" s="128">
        <f>H62/F62</f>
        <v/>
      </c>
      <c r="H62" s="6">
        <f>K62+N62+Q62+T62+W62+Z62+AC62+AF62+AI62+AL62+AO62+AR62+AU62+AX62+BA62+BD62+BG62+BJ62+BM62+BP62+BS62+BV62+BY62+CB62+CE62+CH62+CK62+CN62+CQ62+CT62+CW62</f>
        <v/>
      </c>
      <c r="I62" s="55" t="n"/>
      <c r="J62" s="55">
        <f>K62/I62</f>
        <v/>
      </c>
      <c r="K62" s="128" t="n"/>
      <c r="L62" s="56" t="n"/>
      <c r="M62" s="56">
        <f>N62/L62</f>
        <v/>
      </c>
      <c r="N62" s="131" t="n"/>
      <c r="O62" s="55" t="n"/>
      <c r="P62" s="55">
        <f>Q62/O62</f>
        <v/>
      </c>
      <c r="Q62" s="128" t="n"/>
      <c r="R62" s="58" t="n"/>
      <c r="S62" s="58">
        <f>T62/R62</f>
        <v/>
      </c>
      <c r="T62" s="129" t="n"/>
      <c r="U62" s="55" t="n"/>
      <c r="V62" s="55">
        <f>W62/U62</f>
        <v/>
      </c>
      <c r="W62" s="128" t="n"/>
      <c r="X62" s="58" t="n"/>
      <c r="Y62" s="58">
        <f>Z62/X62</f>
        <v/>
      </c>
      <c r="Z62" s="129" t="n"/>
      <c r="AA62" s="55" t="n"/>
      <c r="AB62" s="55">
        <f>AC62/AA62</f>
        <v/>
      </c>
      <c r="AC62" s="128" t="n"/>
      <c r="AD62" s="58" t="n"/>
      <c r="AE62" s="58">
        <f>AF62/AD62</f>
        <v/>
      </c>
      <c r="AF62" s="129" t="n"/>
      <c r="AG62" s="55" t="n"/>
      <c r="AH62" s="55">
        <f>AI62/AG62</f>
        <v/>
      </c>
      <c r="AI62" s="128" t="n"/>
      <c r="AJ62" s="58" t="n"/>
      <c r="AK62" s="58">
        <f>AL62/AJ62</f>
        <v/>
      </c>
      <c r="AL62" s="129" t="n"/>
      <c r="AM62" s="55" t="n"/>
      <c r="AN62" s="55">
        <f>AO62/AM62</f>
        <v/>
      </c>
      <c r="AO62" s="128" t="n"/>
      <c r="AP62" s="58" t="n"/>
      <c r="AQ62" s="58">
        <f>AR62/AP62</f>
        <v/>
      </c>
      <c r="AR62" s="129" t="n"/>
      <c r="AS62" s="55" t="n"/>
      <c r="AT62" s="55">
        <f>AU62/AS62</f>
        <v/>
      </c>
      <c r="AU62" s="128" t="n"/>
      <c r="AV62" s="58" t="n"/>
      <c r="AW62" s="58">
        <f>AX62/AV62</f>
        <v/>
      </c>
      <c r="AX62" s="129" t="n"/>
      <c r="AY62" s="55" t="n"/>
      <c r="AZ62" s="55">
        <f>BA62/AY62</f>
        <v/>
      </c>
      <c r="BA62" s="55" t="n"/>
      <c r="BB62" s="58" t="n"/>
      <c r="BC62" s="58">
        <f>BD62/BB62</f>
        <v/>
      </c>
      <c r="BD62" s="58" t="n"/>
      <c r="BE62" s="55" t="n"/>
      <c r="BF62" s="55">
        <f>BG62/BE62</f>
        <v/>
      </c>
      <c r="BG62" s="128" t="n"/>
      <c r="BH62" s="58" t="n"/>
      <c r="BI62" s="58">
        <f>BJ62/BH62</f>
        <v/>
      </c>
      <c r="BJ62" s="129" t="n"/>
      <c r="BK62" s="56" t="n"/>
      <c r="BL62" s="56">
        <f>BM62/BK62</f>
        <v/>
      </c>
      <c r="BM62" s="131" t="n"/>
      <c r="BN62" s="58" t="n"/>
      <c r="BO62" s="58">
        <f>BP62/BN62</f>
        <v/>
      </c>
      <c r="BP62" s="129" t="n"/>
      <c r="BQ62" s="55" t="n"/>
      <c r="BR62" s="55">
        <f>BS62/BQ62</f>
        <v/>
      </c>
      <c r="BS62" s="128" t="n"/>
      <c r="BT62" s="58" t="n"/>
      <c r="BU62" s="58">
        <f>BV62/BT62</f>
        <v/>
      </c>
      <c r="BV62" s="129" t="n"/>
      <c r="BW62" s="55" t="n"/>
      <c r="BX62" s="55">
        <f>BY62/BW62</f>
        <v/>
      </c>
      <c r="BY62" s="128" t="n"/>
      <c r="BZ62" s="58" t="n"/>
      <c r="CA62" s="58">
        <f>CB62/BZ62</f>
        <v/>
      </c>
      <c r="CB62" s="129" t="n"/>
      <c r="CC62" s="55" t="n"/>
      <c r="CD62" s="55">
        <f>CE62/CC62</f>
        <v/>
      </c>
      <c r="CE62" s="128" t="n"/>
      <c r="CF62" s="58" t="n"/>
      <c r="CG62" s="58">
        <f>CH62/CF62</f>
        <v/>
      </c>
      <c r="CH62" s="129" t="n"/>
      <c r="CI62" s="55" t="n"/>
      <c r="CJ62" s="55">
        <f>CK62/CI62</f>
        <v/>
      </c>
      <c r="CK62" s="128" t="n"/>
      <c r="CL62" s="58" t="n"/>
      <c r="CM62" s="58">
        <f>CN62/CL62</f>
        <v/>
      </c>
      <c r="CN62" s="129" t="n"/>
      <c r="CO62" s="55" t="n"/>
      <c r="CP62" s="55">
        <f>CQ62/CO62</f>
        <v/>
      </c>
      <c r="CQ62" s="128" t="n"/>
      <c r="CR62" s="58" t="n"/>
      <c r="CS62" s="58">
        <f>CT62/CR62</f>
        <v/>
      </c>
      <c r="CT62" s="129" t="n"/>
      <c r="CU62" s="55" t="n"/>
      <c r="CV62" s="55">
        <f>CW62/CU62</f>
        <v/>
      </c>
      <c r="CW62" s="55" t="n"/>
    </row>
    <row r="63">
      <c r="A63" s="13" t="n">
        <v>61</v>
      </c>
      <c r="B63" s="13" t="inlineStr">
        <is>
          <t>ZC000046</t>
        </is>
      </c>
      <c r="C63" s="13" t="inlineStr">
        <is>
          <t>食品类</t>
        </is>
      </c>
      <c r="D63" s="13" t="inlineStr">
        <is>
          <t>冰糖</t>
        </is>
      </c>
      <c r="E63" s="13" t="inlineStr">
        <is>
          <t>斤</t>
        </is>
      </c>
      <c r="F63" s="6">
        <f>I63+L63+O63+R63+U63+X63+AA63+AD63+AG63+AJ63+AM63+AP63+AS63+AV63+AY63+BB63+BE63+BH63+BK63+BN63+BQ63+BT63+BW63+BZ63+CC63+CF63+CI63+CL63+CO63+CR63+CU63</f>
        <v/>
      </c>
      <c r="G63" s="128">
        <f>H63/F63</f>
        <v/>
      </c>
      <c r="H63" s="6">
        <f>K63+N63+Q63+T63+W63+Z63+AC63+AF63+AI63+AL63+AO63+AR63+AU63+AX63+BA63+BD63+BG63+BJ63+BM63+BP63+BS63+BV63+BY63+CB63+CE63+CH63+CK63+CN63+CQ63+CT63+CW63</f>
        <v/>
      </c>
      <c r="I63" s="55" t="n"/>
      <c r="J63" s="55">
        <f>K63/I63</f>
        <v/>
      </c>
      <c r="K63" s="128" t="n"/>
      <c r="L63" s="56" t="n"/>
      <c r="M63" s="56">
        <f>N63/L63</f>
        <v/>
      </c>
      <c r="N63" s="131" t="n"/>
      <c r="O63" s="55" t="n"/>
      <c r="P63" s="55">
        <f>Q63/O63</f>
        <v/>
      </c>
      <c r="Q63" s="128" t="n"/>
      <c r="R63" s="58" t="n"/>
      <c r="S63" s="58">
        <f>T63/R63</f>
        <v/>
      </c>
      <c r="T63" s="129" t="n"/>
      <c r="U63" s="55" t="n"/>
      <c r="V63" s="55">
        <f>W63/U63</f>
        <v/>
      </c>
      <c r="W63" s="128" t="n"/>
      <c r="X63" s="58" t="n"/>
      <c r="Y63" s="58">
        <f>Z63/X63</f>
        <v/>
      </c>
      <c r="Z63" s="129" t="n"/>
      <c r="AA63" s="55" t="n"/>
      <c r="AB63" s="55">
        <f>AC63/AA63</f>
        <v/>
      </c>
      <c r="AC63" s="128" t="n"/>
      <c r="AD63" s="58" t="n"/>
      <c r="AE63" s="58">
        <f>AF63/AD63</f>
        <v/>
      </c>
      <c r="AF63" s="129" t="n"/>
      <c r="AG63" s="55" t="n"/>
      <c r="AH63" s="55">
        <f>AI63/AG63</f>
        <v/>
      </c>
      <c r="AI63" s="128" t="n"/>
      <c r="AJ63" s="58" t="n"/>
      <c r="AK63" s="58">
        <f>AL63/AJ63</f>
        <v/>
      </c>
      <c r="AL63" s="129" t="n"/>
      <c r="AM63" s="55" t="n"/>
      <c r="AN63" s="55">
        <f>AO63/AM63</f>
        <v/>
      </c>
      <c r="AO63" s="128" t="n"/>
      <c r="AP63" s="58" t="n"/>
      <c r="AQ63" s="58">
        <f>AR63/AP63</f>
        <v/>
      </c>
      <c r="AR63" s="129" t="n"/>
      <c r="AS63" s="55" t="n"/>
      <c r="AT63" s="55">
        <f>AU63/AS63</f>
        <v/>
      </c>
      <c r="AU63" s="128" t="n"/>
      <c r="AV63" s="58" t="n"/>
      <c r="AW63" s="58">
        <f>AX63/AV63</f>
        <v/>
      </c>
      <c r="AX63" s="129" t="n"/>
      <c r="AY63" s="55" t="n"/>
      <c r="AZ63" s="55">
        <f>BA63/AY63</f>
        <v/>
      </c>
      <c r="BA63" s="55" t="n"/>
      <c r="BB63" s="58" t="n"/>
      <c r="BC63" s="58">
        <f>BD63/BB63</f>
        <v/>
      </c>
      <c r="BD63" s="58" t="n"/>
      <c r="BE63" s="55" t="n"/>
      <c r="BF63" s="55">
        <f>BG63/BE63</f>
        <v/>
      </c>
      <c r="BG63" s="128" t="n"/>
      <c r="BH63" s="58" t="n"/>
      <c r="BI63" s="58">
        <f>BJ63/BH63</f>
        <v/>
      </c>
      <c r="BJ63" s="129" t="n"/>
      <c r="BK63" s="56" t="n"/>
      <c r="BL63" s="56">
        <f>BM63/BK63</f>
        <v/>
      </c>
      <c r="BM63" s="131" t="n"/>
      <c r="BN63" s="58" t="n"/>
      <c r="BO63" s="58">
        <f>BP63/BN63</f>
        <v/>
      </c>
      <c r="BP63" s="129" t="n"/>
      <c r="BQ63" s="55" t="n"/>
      <c r="BR63" s="55">
        <f>BS63/BQ63</f>
        <v/>
      </c>
      <c r="BS63" s="128" t="n"/>
      <c r="BT63" s="58" t="n"/>
      <c r="BU63" s="58">
        <f>BV63/BT63</f>
        <v/>
      </c>
      <c r="BV63" s="129" t="n"/>
      <c r="BW63" s="55" t="n"/>
      <c r="BX63" s="55">
        <f>BY63/BW63</f>
        <v/>
      </c>
      <c r="BY63" s="128" t="n"/>
      <c r="BZ63" s="58" t="n"/>
      <c r="CA63" s="58">
        <f>CB63/BZ63</f>
        <v/>
      </c>
      <c r="CB63" s="129" t="n"/>
      <c r="CC63" s="55" t="n"/>
      <c r="CD63" s="55">
        <f>CE63/CC63</f>
        <v/>
      </c>
      <c r="CE63" s="128" t="n"/>
      <c r="CF63" s="58" t="n"/>
      <c r="CG63" s="58">
        <f>CH63/CF63</f>
        <v/>
      </c>
      <c r="CH63" s="129" t="n"/>
      <c r="CI63" s="55" t="n"/>
      <c r="CJ63" s="55">
        <f>CK63/CI63</f>
        <v/>
      </c>
      <c r="CK63" s="128" t="n"/>
      <c r="CL63" s="58" t="n"/>
      <c r="CM63" s="58">
        <f>CN63/CL63</f>
        <v/>
      </c>
      <c r="CN63" s="129" t="n"/>
      <c r="CO63" s="55" t="n"/>
      <c r="CP63" s="55">
        <f>CQ63/CO63</f>
        <v/>
      </c>
      <c r="CQ63" s="128" t="n"/>
      <c r="CR63" s="58" t="n"/>
      <c r="CS63" s="58">
        <f>CT63/CR63</f>
        <v/>
      </c>
      <c r="CT63" s="129" t="n"/>
      <c r="CU63" s="55" t="n"/>
      <c r="CV63" s="55">
        <f>CW63/CU63</f>
        <v/>
      </c>
      <c r="CW63" s="55" t="n"/>
    </row>
    <row r="64">
      <c r="A64" s="13" t="n">
        <v>62</v>
      </c>
      <c r="B64" s="13" t="inlineStr">
        <is>
          <t>ZC000047</t>
        </is>
      </c>
      <c r="C64" s="13" t="inlineStr">
        <is>
          <t>食品类</t>
        </is>
      </c>
      <c r="D64" s="31" t="inlineStr">
        <is>
          <t>红花椒</t>
        </is>
      </c>
      <c r="E64" s="13" t="inlineStr">
        <is>
          <t>斤</t>
        </is>
      </c>
      <c r="F64" s="6">
        <f>I64+L64+O64+R64+U64+X64+AA64+AD64+AG64+AJ64+AM64+AP64+AS64+AV64+AY64+BB64+BE64+BH64+BK64+BN64+BQ64+BT64+BW64+BZ64+CC64+CF64+CI64+CL64+CO64+CR64+CU64</f>
        <v/>
      </c>
      <c r="G64" s="128">
        <f>H64/F64</f>
        <v/>
      </c>
      <c r="H64" s="6">
        <f>K64+N64+Q64+T64+W64+Z64+AC64+AF64+AI64+AL64+AO64+AR64+AU64+AX64+BA64+BD64+BG64+BJ64+BM64+BP64+BS64+BV64+BY64+CB64+CE64+CH64+CK64+CN64+CQ64+CT64+CW64</f>
        <v/>
      </c>
      <c r="I64" s="55" t="n"/>
      <c r="J64" s="55">
        <f>K64/I64</f>
        <v/>
      </c>
      <c r="K64" s="128" t="n"/>
      <c r="L64" s="56" t="n"/>
      <c r="M64" s="56">
        <f>N64/L64</f>
        <v/>
      </c>
      <c r="N64" s="131" t="n"/>
      <c r="O64" s="55" t="n"/>
      <c r="P64" s="55">
        <f>Q64/O64</f>
        <v/>
      </c>
      <c r="Q64" s="128" t="n"/>
      <c r="R64" s="58" t="n"/>
      <c r="S64" s="58">
        <f>T64/R64</f>
        <v/>
      </c>
      <c r="T64" s="129" t="n"/>
      <c r="U64" s="55" t="n"/>
      <c r="V64" s="55">
        <f>W64/U64</f>
        <v/>
      </c>
      <c r="W64" s="128" t="n"/>
      <c r="X64" s="58" t="n"/>
      <c r="Y64" s="58">
        <f>Z64/X64</f>
        <v/>
      </c>
      <c r="Z64" s="129" t="n"/>
      <c r="AA64" s="55" t="n"/>
      <c r="AB64" s="55">
        <f>AC64/AA64</f>
        <v/>
      </c>
      <c r="AC64" s="128" t="n"/>
      <c r="AD64" s="58" t="n"/>
      <c r="AE64" s="58">
        <f>AF64/AD64</f>
        <v/>
      </c>
      <c r="AF64" s="129" t="n"/>
      <c r="AG64" s="55" t="n"/>
      <c r="AH64" s="55">
        <f>AI64/AG64</f>
        <v/>
      </c>
      <c r="AI64" s="128" t="n"/>
      <c r="AJ64" s="58" t="n"/>
      <c r="AK64" s="58">
        <f>AL64/AJ64</f>
        <v/>
      </c>
      <c r="AL64" s="129" t="n"/>
      <c r="AM64" s="55" t="n"/>
      <c r="AN64" s="55">
        <f>AO64/AM64</f>
        <v/>
      </c>
      <c r="AO64" s="128" t="n"/>
      <c r="AP64" s="58" t="n"/>
      <c r="AQ64" s="58">
        <f>AR64/AP64</f>
        <v/>
      </c>
      <c r="AR64" s="129" t="n"/>
      <c r="AS64" s="55" t="n"/>
      <c r="AT64" s="55">
        <f>AU64/AS64</f>
        <v/>
      </c>
      <c r="AU64" s="128" t="n"/>
      <c r="AV64" s="58" t="n"/>
      <c r="AW64" s="58">
        <f>AX64/AV64</f>
        <v/>
      </c>
      <c r="AX64" s="129" t="n"/>
      <c r="AY64" s="55" t="n"/>
      <c r="AZ64" s="55">
        <f>BA64/AY64</f>
        <v/>
      </c>
      <c r="BA64" s="55" t="n"/>
      <c r="BB64" s="58" t="n"/>
      <c r="BC64" s="58">
        <f>BD64/BB64</f>
        <v/>
      </c>
      <c r="BD64" s="58" t="n"/>
      <c r="BE64" s="55" t="n"/>
      <c r="BF64" s="55">
        <f>BG64/BE64</f>
        <v/>
      </c>
      <c r="BG64" s="128" t="n"/>
      <c r="BH64" s="58" t="n"/>
      <c r="BI64" s="58">
        <f>BJ64/BH64</f>
        <v/>
      </c>
      <c r="BJ64" s="129" t="n"/>
      <c r="BK64" s="56" t="n"/>
      <c r="BL64" s="56">
        <f>BM64/BK64</f>
        <v/>
      </c>
      <c r="BM64" s="131" t="n"/>
      <c r="BN64" s="58" t="n"/>
      <c r="BO64" s="58">
        <f>BP64/BN64</f>
        <v/>
      </c>
      <c r="BP64" s="129" t="n"/>
      <c r="BQ64" s="55" t="n"/>
      <c r="BR64" s="55">
        <f>BS64/BQ64</f>
        <v/>
      </c>
      <c r="BS64" s="128" t="n"/>
      <c r="BT64" s="58" t="n"/>
      <c r="BU64" s="58">
        <f>BV64/BT64</f>
        <v/>
      </c>
      <c r="BV64" s="129" t="n"/>
      <c r="BW64" s="55" t="n"/>
      <c r="BX64" s="55">
        <f>BY64/BW64</f>
        <v/>
      </c>
      <c r="BY64" s="128" t="n"/>
      <c r="BZ64" s="58" t="n"/>
      <c r="CA64" s="58">
        <f>CB64/BZ64</f>
        <v/>
      </c>
      <c r="CB64" s="129" t="n"/>
      <c r="CC64" s="55" t="n"/>
      <c r="CD64" s="55">
        <f>CE64/CC64</f>
        <v/>
      </c>
      <c r="CE64" s="128" t="n"/>
      <c r="CF64" s="58" t="n"/>
      <c r="CG64" s="58">
        <f>CH64/CF64</f>
        <v/>
      </c>
      <c r="CH64" s="129" t="n"/>
      <c r="CI64" s="55" t="n"/>
      <c r="CJ64" s="55">
        <f>CK64/CI64</f>
        <v/>
      </c>
      <c r="CK64" s="128" t="n"/>
      <c r="CL64" s="58" t="n"/>
      <c r="CM64" s="58">
        <f>CN64/CL64</f>
        <v/>
      </c>
      <c r="CN64" s="129" t="n"/>
      <c r="CO64" s="55" t="n"/>
      <c r="CP64" s="55">
        <f>CQ64/CO64</f>
        <v/>
      </c>
      <c r="CQ64" s="128" t="n"/>
      <c r="CR64" s="58" t="n"/>
      <c r="CS64" s="58">
        <f>CT64/CR64</f>
        <v/>
      </c>
      <c r="CT64" s="129" t="n"/>
      <c r="CU64" s="55" t="n"/>
      <c r="CV64" s="55">
        <f>CW64/CU64</f>
        <v/>
      </c>
      <c r="CW64" s="55" t="n"/>
    </row>
    <row r="65">
      <c r="A65" s="13" t="n">
        <v>63</v>
      </c>
      <c r="B65" s="13" t="inlineStr">
        <is>
          <t>ZC000048</t>
        </is>
      </c>
      <c r="C65" s="13" t="inlineStr">
        <is>
          <t>食品类</t>
        </is>
      </c>
      <c r="D65" s="31" t="inlineStr">
        <is>
          <t>黄片糖</t>
        </is>
      </c>
      <c r="E65" s="13" t="inlineStr">
        <is>
          <t>件</t>
        </is>
      </c>
      <c r="F65" s="6">
        <f>I65+L65+O65+R65+U65+X65+AA65+AD65+AG65+AJ65+AM65+AP65+AS65+AV65+AY65+BB65+BE65+BH65+BK65+BN65+BQ65+BT65+BW65+BZ65+CC65+CF65+CI65+CL65+CO65+CR65+CU65</f>
        <v/>
      </c>
      <c r="G65" s="128">
        <f>H65/F65</f>
        <v/>
      </c>
      <c r="H65" s="6">
        <f>K65+N65+Q65+T65+W65+Z65+AC65+AF65+AI65+AL65+AO65+AR65+AU65+AX65+BA65+BD65+BG65+BJ65+BM65+BP65+BS65+BV65+BY65+CB65+CE65+CH65+CK65+CN65+CQ65+CT65+CW65</f>
        <v/>
      </c>
      <c r="I65" s="55" t="n"/>
      <c r="J65" s="55">
        <f>K65/I65</f>
        <v/>
      </c>
      <c r="K65" s="128" t="n"/>
      <c r="L65" s="56" t="n"/>
      <c r="M65" s="56">
        <f>N65/L65</f>
        <v/>
      </c>
      <c r="N65" s="131" t="n"/>
      <c r="O65" s="55" t="n"/>
      <c r="P65" s="55">
        <f>Q65/O65</f>
        <v/>
      </c>
      <c r="Q65" s="128" t="n"/>
      <c r="R65" s="58" t="n"/>
      <c r="S65" s="58">
        <f>T65/R65</f>
        <v/>
      </c>
      <c r="T65" s="129" t="n"/>
      <c r="U65" s="55" t="n"/>
      <c r="V65" s="55">
        <f>W65/U65</f>
        <v/>
      </c>
      <c r="W65" s="128" t="n"/>
      <c r="X65" s="58" t="n"/>
      <c r="Y65" s="58">
        <f>Z65/X65</f>
        <v/>
      </c>
      <c r="Z65" s="129" t="n"/>
      <c r="AA65" s="55" t="n"/>
      <c r="AB65" s="55">
        <f>AC65/AA65</f>
        <v/>
      </c>
      <c r="AC65" s="128" t="n"/>
      <c r="AD65" s="58" t="n"/>
      <c r="AE65" s="58">
        <f>AF65/AD65</f>
        <v/>
      </c>
      <c r="AF65" s="129" t="n"/>
      <c r="AG65" s="55" t="n"/>
      <c r="AH65" s="55">
        <f>AI65/AG65</f>
        <v/>
      </c>
      <c r="AI65" s="128" t="n"/>
      <c r="AJ65" s="58" t="n"/>
      <c r="AK65" s="58">
        <f>AL65/AJ65</f>
        <v/>
      </c>
      <c r="AL65" s="129" t="n"/>
      <c r="AM65" s="55" t="n"/>
      <c r="AN65" s="55">
        <f>AO65/AM65</f>
        <v/>
      </c>
      <c r="AO65" s="128" t="n"/>
      <c r="AP65" s="58" t="n"/>
      <c r="AQ65" s="58">
        <f>AR65/AP65</f>
        <v/>
      </c>
      <c r="AR65" s="129" t="n"/>
      <c r="AS65" s="55" t="n"/>
      <c r="AT65" s="55">
        <f>AU65/AS65</f>
        <v/>
      </c>
      <c r="AU65" s="128" t="n"/>
      <c r="AV65" s="58" t="n"/>
      <c r="AW65" s="58">
        <f>AX65/AV65</f>
        <v/>
      </c>
      <c r="AX65" s="129" t="n"/>
      <c r="AY65" s="55" t="n"/>
      <c r="AZ65" s="55">
        <f>BA65/AY65</f>
        <v/>
      </c>
      <c r="BA65" s="55" t="n"/>
      <c r="BB65" s="58" t="n"/>
      <c r="BC65" s="58">
        <f>BD65/BB65</f>
        <v/>
      </c>
      <c r="BD65" s="58" t="n"/>
      <c r="BE65" s="55" t="n"/>
      <c r="BF65" s="55">
        <f>BG65/BE65</f>
        <v/>
      </c>
      <c r="BG65" s="128" t="n"/>
      <c r="BH65" s="58" t="n"/>
      <c r="BI65" s="58">
        <f>BJ65/BH65</f>
        <v/>
      </c>
      <c r="BJ65" s="129" t="n"/>
      <c r="BK65" s="56" t="n"/>
      <c r="BL65" s="56">
        <f>BM65/BK65</f>
        <v/>
      </c>
      <c r="BM65" s="131" t="n"/>
      <c r="BN65" s="58" t="n"/>
      <c r="BO65" s="58">
        <f>BP65/BN65</f>
        <v/>
      </c>
      <c r="BP65" s="129" t="n"/>
      <c r="BQ65" s="55" t="n"/>
      <c r="BR65" s="55">
        <f>BS65/BQ65</f>
        <v/>
      </c>
      <c r="BS65" s="128" t="n"/>
      <c r="BT65" s="58" t="n"/>
      <c r="BU65" s="58">
        <f>BV65/BT65</f>
        <v/>
      </c>
      <c r="BV65" s="129" t="n"/>
      <c r="BW65" s="55" t="n"/>
      <c r="BX65" s="55">
        <f>BY65/BW65</f>
        <v/>
      </c>
      <c r="BY65" s="128" t="n"/>
      <c r="BZ65" s="58" t="n"/>
      <c r="CA65" s="58">
        <f>CB65/BZ65</f>
        <v/>
      </c>
      <c r="CB65" s="129" t="n"/>
      <c r="CC65" s="55" t="n"/>
      <c r="CD65" s="55">
        <f>CE65/CC65</f>
        <v/>
      </c>
      <c r="CE65" s="128" t="n"/>
      <c r="CF65" s="58" t="n"/>
      <c r="CG65" s="58">
        <f>CH65/CF65</f>
        <v/>
      </c>
      <c r="CH65" s="129" t="n"/>
      <c r="CI65" s="55" t="n"/>
      <c r="CJ65" s="55">
        <f>CK65/CI65</f>
        <v/>
      </c>
      <c r="CK65" s="128" t="n"/>
      <c r="CL65" s="58" t="n"/>
      <c r="CM65" s="58">
        <f>CN65/CL65</f>
        <v/>
      </c>
      <c r="CN65" s="129" t="n"/>
      <c r="CO65" s="55" t="n"/>
      <c r="CP65" s="55">
        <f>CQ65/CO65</f>
        <v/>
      </c>
      <c r="CQ65" s="128" t="n"/>
      <c r="CR65" s="58" t="n"/>
      <c r="CS65" s="58">
        <f>CT65/CR65</f>
        <v/>
      </c>
      <c r="CT65" s="129" t="n"/>
      <c r="CU65" s="55" t="n"/>
      <c r="CV65" s="55">
        <f>CW65/CU65</f>
        <v/>
      </c>
      <c r="CW65" s="55" t="n"/>
    </row>
    <row r="66">
      <c r="A66" s="13" t="n">
        <v>64</v>
      </c>
      <c r="B66" s="13" t="inlineStr">
        <is>
          <t>ZC000049</t>
        </is>
      </c>
      <c r="C66" s="13" t="inlineStr">
        <is>
          <t>食品类</t>
        </is>
      </c>
      <c r="D66" s="13" t="inlineStr">
        <is>
          <t>芥兰苗</t>
        </is>
      </c>
      <c r="E66" s="13" t="inlineStr">
        <is>
          <t>袋</t>
        </is>
      </c>
      <c r="F66" s="6">
        <f>I66+L66+O66+R66+U66+X66+AA66+AD66+AG66+AJ66+AM66+AP66+AS66+AV66+AY66+BB66+BE66+BH66+BK66+BN66+BQ66+BT66+BW66+BZ66+CC66+CF66+CI66+CL66+CO66+CR66+CU66</f>
        <v/>
      </c>
      <c r="G66" s="128">
        <f>H66/F66</f>
        <v/>
      </c>
      <c r="H66" s="6">
        <f>K66+N66+Q66+T66+W66+Z66+AC66+AF66+AI66+AL66+AO66+AR66+AU66+AX66+BA66+BD66+BG66+BJ66+BM66+BP66+BS66+BV66+BY66+CB66+CE66+CH66+CK66+CN66+CQ66+CT66+CW66</f>
        <v/>
      </c>
      <c r="I66" s="55" t="n"/>
      <c r="J66" s="55">
        <f>K66/I66</f>
        <v/>
      </c>
      <c r="K66" s="128" t="n"/>
      <c r="L66" s="56" t="n"/>
      <c r="M66" s="56">
        <f>N66/L66</f>
        <v/>
      </c>
      <c r="N66" s="131" t="n"/>
      <c r="O66" s="55" t="n"/>
      <c r="P66" s="55">
        <f>Q66/O66</f>
        <v/>
      </c>
      <c r="Q66" s="128" t="n"/>
      <c r="R66" s="58" t="n"/>
      <c r="S66" s="58">
        <f>T66/R66</f>
        <v/>
      </c>
      <c r="T66" s="129" t="n"/>
      <c r="U66" s="55" t="n"/>
      <c r="V66" s="55">
        <f>W66/U66</f>
        <v/>
      </c>
      <c r="W66" s="128" t="n"/>
      <c r="X66" s="58" t="n"/>
      <c r="Y66" s="58">
        <f>Z66/X66</f>
        <v/>
      </c>
      <c r="Z66" s="129" t="n"/>
      <c r="AA66" s="55" t="n"/>
      <c r="AB66" s="55">
        <f>AC66/AA66</f>
        <v/>
      </c>
      <c r="AC66" s="128" t="n"/>
      <c r="AD66" s="58" t="n"/>
      <c r="AE66" s="58">
        <f>AF66/AD66</f>
        <v/>
      </c>
      <c r="AF66" s="129" t="n"/>
      <c r="AG66" s="55" t="n"/>
      <c r="AH66" s="55">
        <f>AI66/AG66</f>
        <v/>
      </c>
      <c r="AI66" s="128" t="n"/>
      <c r="AJ66" s="58" t="n"/>
      <c r="AK66" s="58">
        <f>AL66/AJ66</f>
        <v/>
      </c>
      <c r="AL66" s="129" t="n"/>
      <c r="AM66" s="55" t="n"/>
      <c r="AN66" s="55">
        <f>AO66/AM66</f>
        <v/>
      </c>
      <c r="AO66" s="128" t="n"/>
      <c r="AP66" s="58" t="n"/>
      <c r="AQ66" s="58">
        <f>AR66/AP66</f>
        <v/>
      </c>
      <c r="AR66" s="129" t="n"/>
      <c r="AS66" s="55" t="n"/>
      <c r="AT66" s="55">
        <f>AU66/AS66</f>
        <v/>
      </c>
      <c r="AU66" s="128" t="n"/>
      <c r="AV66" s="58" t="n"/>
      <c r="AW66" s="58">
        <f>AX66/AV66</f>
        <v/>
      </c>
      <c r="AX66" s="129" t="n"/>
      <c r="AY66" s="55" t="n"/>
      <c r="AZ66" s="55">
        <f>BA66/AY66</f>
        <v/>
      </c>
      <c r="BA66" s="55" t="n"/>
      <c r="BB66" s="58" t="n"/>
      <c r="BC66" s="58">
        <f>BD66/BB66</f>
        <v/>
      </c>
      <c r="BD66" s="58" t="n"/>
      <c r="BE66" s="55" t="n"/>
      <c r="BF66" s="55">
        <f>BG66/BE66</f>
        <v/>
      </c>
      <c r="BG66" s="128" t="n"/>
      <c r="BH66" s="58" t="n"/>
      <c r="BI66" s="58">
        <f>BJ66/BH66</f>
        <v/>
      </c>
      <c r="BJ66" s="129" t="n"/>
      <c r="BK66" s="56" t="n"/>
      <c r="BL66" s="56">
        <f>BM66/BK66</f>
        <v/>
      </c>
      <c r="BM66" s="131" t="n"/>
      <c r="BN66" s="58" t="n"/>
      <c r="BO66" s="58">
        <f>BP66/BN66</f>
        <v/>
      </c>
      <c r="BP66" s="129" t="n"/>
      <c r="BQ66" s="55" t="n"/>
      <c r="BR66" s="55">
        <f>BS66/BQ66</f>
        <v/>
      </c>
      <c r="BS66" s="128" t="n"/>
      <c r="BT66" s="58" t="n"/>
      <c r="BU66" s="58">
        <f>BV66/BT66</f>
        <v/>
      </c>
      <c r="BV66" s="129" t="n"/>
      <c r="BW66" s="55" t="n"/>
      <c r="BX66" s="55">
        <f>BY66/BW66</f>
        <v/>
      </c>
      <c r="BY66" s="128" t="n"/>
      <c r="BZ66" s="58" t="n"/>
      <c r="CA66" s="58">
        <f>CB66/BZ66</f>
        <v/>
      </c>
      <c r="CB66" s="129" t="n"/>
      <c r="CC66" s="55" t="n"/>
      <c r="CD66" s="55">
        <f>CE66/CC66</f>
        <v/>
      </c>
      <c r="CE66" s="128" t="n"/>
      <c r="CF66" s="58" t="n"/>
      <c r="CG66" s="58">
        <f>CH66/CF66</f>
        <v/>
      </c>
      <c r="CH66" s="129" t="n"/>
      <c r="CI66" s="55" t="n"/>
      <c r="CJ66" s="55">
        <f>CK66/CI66</f>
        <v/>
      </c>
      <c r="CK66" s="128" t="n"/>
      <c r="CL66" s="58" t="n"/>
      <c r="CM66" s="58">
        <f>CN66/CL66</f>
        <v/>
      </c>
      <c r="CN66" s="129" t="n"/>
      <c r="CO66" s="55" t="n"/>
      <c r="CP66" s="55">
        <f>CQ66/CO66</f>
        <v/>
      </c>
      <c r="CQ66" s="128" t="n"/>
      <c r="CR66" s="58" t="n"/>
      <c r="CS66" s="58">
        <f>CT66/CR66</f>
        <v/>
      </c>
      <c r="CT66" s="129" t="n"/>
      <c r="CU66" s="55" t="n"/>
      <c r="CV66" s="55">
        <f>CW66/CU66</f>
        <v/>
      </c>
      <c r="CW66" s="55" t="n"/>
    </row>
    <row r="67">
      <c r="A67" s="13" t="n">
        <v>65</v>
      </c>
      <c r="B67" s="13" t="inlineStr">
        <is>
          <t>YH000023</t>
        </is>
      </c>
      <c r="C67" s="13" t="inlineStr">
        <is>
          <t>易耗品</t>
        </is>
      </c>
      <c r="D67" s="13" t="inlineStr">
        <is>
          <t>挂肉钩</t>
        </is>
      </c>
      <c r="E67" s="13" t="inlineStr">
        <is>
          <t>个</t>
        </is>
      </c>
      <c r="F67" s="6">
        <f>I67+L67+O67+R67+U67+X67+AA67+AD67+AG67+AJ67+AM67+AP67+AS67+AV67+AY67+BB67+BE67+BH67+BK67+BN67+BQ67+BT67+BW67+BZ67+CC67+CF67+CI67+CL67+CO67+CR67+CU67</f>
        <v/>
      </c>
      <c r="G67" s="128">
        <f>H67/F67</f>
        <v/>
      </c>
      <c r="H67" s="6">
        <f>K67+N67+Q67+T67+W67+Z67+AC67+AF67+AI67+AL67+AO67+AR67+AU67+AX67+BA67+BD67+BG67+BJ67+BM67+BP67+BS67+BV67+BY67+CB67+CE67+CH67+CK67+CN67+CQ67+CT67+CW67</f>
        <v/>
      </c>
      <c r="I67" s="55" t="n"/>
      <c r="J67" s="55">
        <f>K67/I67</f>
        <v/>
      </c>
      <c r="K67" s="128" t="n"/>
      <c r="L67" s="56" t="n"/>
      <c r="M67" s="56">
        <f>N67/L67</f>
        <v/>
      </c>
      <c r="N67" s="131" t="n"/>
      <c r="O67" s="55" t="n"/>
      <c r="P67" s="55">
        <f>Q67/O67</f>
        <v/>
      </c>
      <c r="Q67" s="128" t="n"/>
      <c r="R67" s="58" t="n"/>
      <c r="S67" s="58">
        <f>T67/R67</f>
        <v/>
      </c>
      <c r="T67" s="129" t="n"/>
      <c r="U67" s="55" t="n"/>
      <c r="V67" s="55">
        <f>W67/U67</f>
        <v/>
      </c>
      <c r="W67" s="128" t="n"/>
      <c r="X67" s="58" t="n"/>
      <c r="Y67" s="58">
        <f>Z67/X67</f>
        <v/>
      </c>
      <c r="Z67" s="129" t="n"/>
      <c r="AA67" s="55" t="n"/>
      <c r="AB67" s="55">
        <f>AC67/AA67</f>
        <v/>
      </c>
      <c r="AC67" s="128" t="n"/>
      <c r="AD67" s="58" t="n"/>
      <c r="AE67" s="58">
        <f>AF67/AD67</f>
        <v/>
      </c>
      <c r="AF67" s="129" t="n"/>
      <c r="AG67" s="55" t="n"/>
      <c r="AH67" s="55">
        <f>AI67/AG67</f>
        <v/>
      </c>
      <c r="AI67" s="128" t="n"/>
      <c r="AJ67" s="58" t="n"/>
      <c r="AK67" s="58">
        <f>AL67/AJ67</f>
        <v/>
      </c>
      <c r="AL67" s="129" t="n"/>
      <c r="AM67" s="55" t="n"/>
      <c r="AN67" s="55">
        <f>AO67/AM67</f>
        <v/>
      </c>
      <c r="AO67" s="128" t="n"/>
      <c r="AP67" s="58" t="n"/>
      <c r="AQ67" s="58">
        <f>AR67/AP67</f>
        <v/>
      </c>
      <c r="AR67" s="129" t="n"/>
      <c r="AS67" s="55" t="n"/>
      <c r="AT67" s="55">
        <f>AU67/AS67</f>
        <v/>
      </c>
      <c r="AU67" s="128" t="n"/>
      <c r="AV67" s="58" t="n"/>
      <c r="AW67" s="58">
        <f>AX67/AV67</f>
        <v/>
      </c>
      <c r="AX67" s="129" t="n"/>
      <c r="AY67" s="55" t="n"/>
      <c r="AZ67" s="55">
        <f>BA67/AY67</f>
        <v/>
      </c>
      <c r="BA67" s="55" t="n"/>
      <c r="BB67" s="58" t="n"/>
      <c r="BC67" s="58">
        <f>BD67/BB67</f>
        <v/>
      </c>
      <c r="BD67" s="58" t="n"/>
      <c r="BE67" s="55" t="n"/>
      <c r="BF67" s="55">
        <f>BG67/BE67</f>
        <v/>
      </c>
      <c r="BG67" s="128" t="n"/>
      <c r="BH67" s="58" t="n"/>
      <c r="BI67" s="58">
        <f>BJ67/BH67</f>
        <v/>
      </c>
      <c r="BJ67" s="129" t="n"/>
      <c r="BK67" s="56" t="n"/>
      <c r="BL67" s="56">
        <f>BM67/BK67</f>
        <v/>
      </c>
      <c r="BM67" s="131" t="n"/>
      <c r="BN67" s="58" t="n"/>
      <c r="BO67" s="58">
        <f>BP67/BN67</f>
        <v/>
      </c>
      <c r="BP67" s="129" t="n"/>
      <c r="BQ67" s="55" t="n"/>
      <c r="BR67" s="55">
        <f>BS67/BQ67</f>
        <v/>
      </c>
      <c r="BS67" s="128" t="n"/>
      <c r="BT67" s="58" t="n"/>
      <c r="BU67" s="58">
        <f>BV67/BT67</f>
        <v/>
      </c>
      <c r="BV67" s="129" t="n"/>
      <c r="BW67" s="55" t="n"/>
      <c r="BX67" s="55">
        <f>BY67/BW67</f>
        <v/>
      </c>
      <c r="BY67" s="128" t="n"/>
      <c r="BZ67" s="58" t="n"/>
      <c r="CA67" s="58">
        <f>CB67/BZ67</f>
        <v/>
      </c>
      <c r="CB67" s="129" t="n"/>
      <c r="CC67" s="55" t="n"/>
      <c r="CD67" s="55">
        <f>CE67/CC67</f>
        <v/>
      </c>
      <c r="CE67" s="128" t="n"/>
      <c r="CF67" s="58" t="n"/>
      <c r="CG67" s="58">
        <f>CH67/CF67</f>
        <v/>
      </c>
      <c r="CH67" s="129" t="n"/>
      <c r="CI67" s="55" t="n"/>
      <c r="CJ67" s="55">
        <f>CK67/CI67</f>
        <v/>
      </c>
      <c r="CK67" s="128" t="n"/>
      <c r="CL67" s="58" t="n"/>
      <c r="CM67" s="58">
        <f>CN67/CL67</f>
        <v/>
      </c>
      <c r="CN67" s="129" t="n"/>
      <c r="CO67" s="55" t="n"/>
      <c r="CP67" s="55">
        <f>CQ67/CO67</f>
        <v/>
      </c>
      <c r="CQ67" s="128" t="n"/>
      <c r="CR67" s="58" t="n"/>
      <c r="CS67" s="58">
        <f>CT67/CR67</f>
        <v/>
      </c>
      <c r="CT67" s="129" t="n"/>
      <c r="CU67" s="55" t="n"/>
      <c r="CV67" s="55">
        <f>CW67/CU67</f>
        <v/>
      </c>
      <c r="CW67" s="55" t="n"/>
    </row>
    <row r="68" customFormat="1" s="46">
      <c r="A68" s="42" t="n">
        <v>66</v>
      </c>
      <c r="B68" s="42" t="inlineStr">
        <is>
          <t>ZC000050</t>
        </is>
      </c>
      <c r="C68" s="42" t="inlineStr">
        <is>
          <t>食品类</t>
        </is>
      </c>
      <c r="D68" s="42" t="inlineStr">
        <is>
          <t>细面</t>
        </is>
      </c>
      <c r="E68" s="42" t="inlineStr">
        <is>
          <t>斤</t>
        </is>
      </c>
      <c r="F68" s="61" t="n">
        <v>0</v>
      </c>
      <c r="G68" s="133" t="n">
        <v>0</v>
      </c>
      <c r="H68" s="61" t="n">
        <v>0</v>
      </c>
      <c r="I68" s="63" t="n"/>
      <c r="J68" s="63">
        <f>K68/I68</f>
        <v/>
      </c>
      <c r="K68" s="133" t="n"/>
      <c r="L68" s="56" t="n"/>
      <c r="M68" s="56">
        <f>N68/L68</f>
        <v/>
      </c>
      <c r="N68" s="131" t="n"/>
      <c r="O68" s="63" t="n"/>
      <c r="P68" s="134">
        <f>Q68/O68</f>
        <v/>
      </c>
      <c r="Q68" s="133" t="n"/>
      <c r="R68" s="58" t="n"/>
      <c r="S68" s="58">
        <f>T68/R68</f>
        <v/>
      </c>
      <c r="T68" s="129" t="n"/>
      <c r="U68" s="63" t="n"/>
      <c r="V68" s="63">
        <f>W68/U68</f>
        <v/>
      </c>
      <c r="W68" s="133" t="n"/>
      <c r="X68" s="58" t="n"/>
      <c r="Y68" s="58">
        <f>Z68/X68</f>
        <v/>
      </c>
      <c r="Z68" s="129" t="n"/>
      <c r="AA68" s="63" t="n"/>
      <c r="AB68" s="63">
        <f>AC68/AA68</f>
        <v/>
      </c>
      <c r="AC68" s="133" t="n"/>
      <c r="AD68" s="58" t="n"/>
      <c r="AE68" s="58">
        <f>AF68/AD68</f>
        <v/>
      </c>
      <c r="AF68" s="129" t="n"/>
      <c r="AG68" s="63" t="n"/>
      <c r="AH68" s="63">
        <f>AI68/AG68</f>
        <v/>
      </c>
      <c r="AI68" s="133" t="n"/>
      <c r="AJ68" s="58" t="n"/>
      <c r="AK68" s="58">
        <f>AL68/AJ68</f>
        <v/>
      </c>
      <c r="AL68" s="129" t="n"/>
      <c r="AM68" s="63" t="n"/>
      <c r="AN68" s="63">
        <f>AO68/AM68</f>
        <v/>
      </c>
      <c r="AO68" s="133" t="n"/>
      <c r="AP68" s="58" t="n"/>
      <c r="AQ68" s="58">
        <f>AR68/AP68</f>
        <v/>
      </c>
      <c r="AR68" s="129" t="n"/>
      <c r="AS68" s="63" t="n">
        <v>3</v>
      </c>
      <c r="AT68" s="63">
        <f>AU68/AS68</f>
        <v/>
      </c>
      <c r="AU68" s="133" t="n">
        <v>9</v>
      </c>
      <c r="AV68" s="58" t="n"/>
      <c r="AW68" s="58">
        <f>AX68/AV68</f>
        <v/>
      </c>
      <c r="AX68" s="129" t="n"/>
      <c r="AY68" s="63" t="n"/>
      <c r="AZ68" s="63">
        <f>BA68/AY68</f>
        <v/>
      </c>
      <c r="BA68" s="63" t="n"/>
      <c r="BB68" s="58" t="n"/>
      <c r="BC68" s="58">
        <f>BD68/BB68</f>
        <v/>
      </c>
      <c r="BD68" s="58" t="n"/>
      <c r="BE68" s="63" t="n"/>
      <c r="BF68" s="63">
        <f>BG68/BE68</f>
        <v/>
      </c>
      <c r="BG68" s="133" t="n"/>
      <c r="BH68" s="58" t="n"/>
      <c r="BI68" s="58">
        <f>BJ68/BH68</f>
        <v/>
      </c>
      <c r="BJ68" s="129" t="n"/>
      <c r="BK68" s="56" t="n"/>
      <c r="BL68" s="56">
        <f>BM68/BK68</f>
        <v/>
      </c>
      <c r="BM68" s="131" t="n"/>
      <c r="BN68" s="58" t="n"/>
      <c r="BO68" s="58">
        <f>BP68/BN68</f>
        <v/>
      </c>
      <c r="BP68" s="129" t="n"/>
      <c r="BQ68" s="63" t="n"/>
      <c r="BR68" s="63">
        <f>BS68/BQ68</f>
        <v/>
      </c>
      <c r="BS68" s="133" t="n"/>
      <c r="BT68" s="58" t="n"/>
      <c r="BU68" s="58">
        <f>BV68/BT68</f>
        <v/>
      </c>
      <c r="BV68" s="129" t="n"/>
      <c r="BW68" s="63" t="n"/>
      <c r="BX68" s="63">
        <f>BY68/BW68</f>
        <v/>
      </c>
      <c r="BY68" s="133" t="n"/>
      <c r="BZ68" s="58" t="n"/>
      <c r="CA68" s="58">
        <f>CB68/BZ68</f>
        <v/>
      </c>
      <c r="CB68" s="129" t="n"/>
      <c r="CC68" s="63" t="n"/>
      <c r="CD68" s="63">
        <f>CE68/CC68</f>
        <v/>
      </c>
      <c r="CE68" s="133" t="n"/>
      <c r="CF68" s="58" t="n"/>
      <c r="CG68" s="58">
        <f>CH68/CF68</f>
        <v/>
      </c>
      <c r="CH68" s="129" t="n"/>
      <c r="CI68" s="63" t="n"/>
      <c r="CJ68" s="63">
        <f>CK68/CI68</f>
        <v/>
      </c>
      <c r="CK68" s="133" t="n"/>
      <c r="CL68" s="58" t="n"/>
      <c r="CM68" s="58">
        <f>CN68/CL68</f>
        <v/>
      </c>
      <c r="CN68" s="129" t="n"/>
      <c r="CO68" s="63" t="n"/>
      <c r="CP68" s="63">
        <f>CQ68/CO68</f>
        <v/>
      </c>
      <c r="CQ68" s="133" t="n"/>
      <c r="CR68" s="58" t="n"/>
      <c r="CS68" s="58">
        <f>CT68/CR68</f>
        <v/>
      </c>
      <c r="CT68" s="129" t="n"/>
      <c r="CU68" s="63" t="n"/>
      <c r="CV68" s="63">
        <f>CW68/CU68</f>
        <v/>
      </c>
      <c r="CW68" s="63" t="n"/>
    </row>
    <row r="69">
      <c r="A69" s="13" t="n">
        <v>67</v>
      </c>
      <c r="B69" s="13" t="inlineStr">
        <is>
          <t>ZC000051</t>
        </is>
      </c>
      <c r="C69" s="13" t="inlineStr">
        <is>
          <t>食品类</t>
        </is>
      </c>
      <c r="D69" s="31" t="inlineStr">
        <is>
          <t>水晶粉丝</t>
        </is>
      </c>
      <c r="E69" s="13" t="inlineStr">
        <is>
          <t>包</t>
        </is>
      </c>
      <c r="F69" s="6" t="n">
        <v>0</v>
      </c>
      <c r="G69" s="128" t="n">
        <v>0</v>
      </c>
      <c r="H69" s="6" t="n">
        <v>0</v>
      </c>
      <c r="I69" s="55" t="n"/>
      <c r="J69" s="55">
        <f>K69/I69</f>
        <v/>
      </c>
      <c r="K69" s="128" t="n"/>
      <c r="L69" s="56" t="n"/>
      <c r="M69" s="56">
        <f>N69/L69</f>
        <v/>
      </c>
      <c r="N69" s="131" t="n"/>
      <c r="O69" s="55" t="n"/>
      <c r="P69" s="132">
        <f>Q69/O69</f>
        <v/>
      </c>
      <c r="Q69" s="128" t="n"/>
      <c r="R69" s="58" t="n"/>
      <c r="S69" s="58">
        <f>T69/R69</f>
        <v/>
      </c>
      <c r="T69" s="129" t="n"/>
      <c r="U69" s="55" t="n"/>
      <c r="V69" s="55">
        <f>W69/U69</f>
        <v/>
      </c>
      <c r="W69" s="128" t="n"/>
      <c r="X69" s="58" t="n"/>
      <c r="Y69" s="58">
        <f>Z69/X69</f>
        <v/>
      </c>
      <c r="Z69" s="129" t="n"/>
      <c r="AA69" s="55" t="n"/>
      <c r="AB69" s="55">
        <f>AC69/AA69</f>
        <v/>
      </c>
      <c r="AC69" s="128" t="n"/>
      <c r="AD69" s="58" t="n"/>
      <c r="AE69" s="58">
        <f>AF69/AD69</f>
        <v/>
      </c>
      <c r="AF69" s="129" t="n"/>
      <c r="AG69" s="55" t="n"/>
      <c r="AH69" s="55">
        <f>AI69/AG69</f>
        <v/>
      </c>
      <c r="AI69" s="128" t="n"/>
      <c r="AJ69" s="58" t="n"/>
      <c r="AK69" s="58">
        <f>AL69/AJ69</f>
        <v/>
      </c>
      <c r="AL69" s="129" t="n"/>
      <c r="AM69" s="55" t="n"/>
      <c r="AN69" s="55">
        <f>AO69/AM69</f>
        <v/>
      </c>
      <c r="AO69" s="128" t="n"/>
      <c r="AP69" s="58" t="n"/>
      <c r="AQ69" s="58">
        <f>AR69/AP69</f>
        <v/>
      </c>
      <c r="AR69" s="129" t="n"/>
      <c r="AS69" s="55" t="n"/>
      <c r="AT69" s="55">
        <f>AU69/AS69</f>
        <v/>
      </c>
      <c r="AU69" s="128" t="n"/>
      <c r="AV69" s="58" t="n"/>
      <c r="AW69" s="58">
        <f>AX69/AV69</f>
        <v/>
      </c>
      <c r="AX69" s="129" t="n"/>
      <c r="AY69" s="55" t="n"/>
      <c r="AZ69" s="55">
        <f>BA69/AY69</f>
        <v/>
      </c>
      <c r="BA69" s="55" t="n"/>
      <c r="BB69" s="58" t="n"/>
      <c r="BC69" s="58">
        <f>BD69/BB69</f>
        <v/>
      </c>
      <c r="BD69" s="58" t="n"/>
      <c r="BE69" s="55" t="n"/>
      <c r="BF69" s="55">
        <f>BG69/BE69</f>
        <v/>
      </c>
      <c r="BG69" s="128" t="n"/>
      <c r="BH69" s="58" t="n"/>
      <c r="BI69" s="58">
        <f>BJ69/BH69</f>
        <v/>
      </c>
      <c r="BJ69" s="129" t="n"/>
      <c r="BK69" s="56" t="n"/>
      <c r="BL69" s="56">
        <f>BM69/BK69</f>
        <v/>
      </c>
      <c r="BM69" s="131" t="n"/>
      <c r="BN69" s="58" t="n"/>
      <c r="BO69" s="58">
        <f>BP69/BN69</f>
        <v/>
      </c>
      <c r="BP69" s="129" t="n"/>
      <c r="BQ69" s="55" t="n"/>
      <c r="BR69" s="55">
        <f>BS69/BQ69</f>
        <v/>
      </c>
      <c r="BS69" s="128" t="n"/>
      <c r="BT69" s="58" t="n"/>
      <c r="BU69" s="58">
        <f>BV69/BT69</f>
        <v/>
      </c>
      <c r="BV69" s="129" t="n"/>
      <c r="BW69" s="55" t="n"/>
      <c r="BX69" s="55">
        <f>BY69/BW69</f>
        <v/>
      </c>
      <c r="BY69" s="128" t="n"/>
      <c r="BZ69" s="58" t="n"/>
      <c r="CA69" s="58">
        <f>CB69/BZ69</f>
        <v/>
      </c>
      <c r="CB69" s="129" t="n"/>
      <c r="CC69" s="55" t="n"/>
      <c r="CD69" s="55">
        <f>CE69/CC69</f>
        <v/>
      </c>
      <c r="CE69" s="128" t="n"/>
      <c r="CF69" s="58" t="n"/>
      <c r="CG69" s="58">
        <f>CH69/CF69</f>
        <v/>
      </c>
      <c r="CH69" s="129" t="n"/>
      <c r="CI69" s="55" t="n"/>
      <c r="CJ69" s="55">
        <f>CK69/CI69</f>
        <v/>
      </c>
      <c r="CK69" s="128" t="n"/>
      <c r="CL69" s="58" t="n"/>
      <c r="CM69" s="58">
        <f>CN69/CL69</f>
        <v/>
      </c>
      <c r="CN69" s="129" t="n"/>
      <c r="CO69" s="55" t="n"/>
      <c r="CP69" s="55">
        <f>CQ69/CO69</f>
        <v/>
      </c>
      <c r="CQ69" s="128" t="n"/>
      <c r="CR69" s="58" t="n"/>
      <c r="CS69" s="58">
        <f>CT69/CR69</f>
        <v/>
      </c>
      <c r="CT69" s="129" t="n"/>
      <c r="CU69" s="55" t="n"/>
      <c r="CV69" s="55">
        <f>CW69/CU69</f>
        <v/>
      </c>
      <c r="CW69" s="55" t="n"/>
    </row>
    <row r="70">
      <c r="A70" s="13" t="n">
        <v>68</v>
      </c>
      <c r="B70" s="13" t="inlineStr">
        <is>
          <t>ZC000052</t>
        </is>
      </c>
      <c r="C70" s="13" t="inlineStr">
        <is>
          <t>食品类</t>
        </is>
      </c>
      <c r="D70" s="31" t="inlineStr">
        <is>
          <t>千张</t>
        </is>
      </c>
      <c r="E70" s="13" t="inlineStr">
        <is>
          <t>斤</t>
        </is>
      </c>
      <c r="F70" s="6">
        <f>I70+L70+O70+R70+U70+X70+AA70+AD70+AG70+AJ70+AM70+AP70+AS70+AV70+AY70+BB70+BE70+BH70+BK70+BN70+BQ70+BT70+BW70+BZ70+CC70+CF70+CI70+CL70+CO70+CR70+CU70</f>
        <v/>
      </c>
      <c r="G70" s="128">
        <f>H70/F70</f>
        <v/>
      </c>
      <c r="H70" s="6">
        <f>K70+N70+Q70+T70+W70+Z70+AC70+AF70+AI70+AL70+AO70+AR70+AU70+AX70+BA70+BD70+BG70+BJ70+BM70+BP70+BS70+BV70+BY70+CB70+CE70+CH70+CK70+CN70+CQ70+CT70+CW70</f>
        <v/>
      </c>
      <c r="I70" s="55" t="n"/>
      <c r="J70" s="55">
        <f>K70/I70</f>
        <v/>
      </c>
      <c r="K70" s="128" t="n"/>
      <c r="L70" s="56" t="n"/>
      <c r="M70" s="56">
        <f>N70/L70</f>
        <v/>
      </c>
      <c r="N70" s="131" t="n"/>
      <c r="O70" s="55" t="n"/>
      <c r="P70" s="132">
        <f>Q70/O70</f>
        <v/>
      </c>
      <c r="Q70" s="128" t="n"/>
      <c r="R70" s="58" t="n"/>
      <c r="S70" s="58">
        <f>T70/R70</f>
        <v/>
      </c>
      <c r="T70" s="129" t="n"/>
      <c r="U70" s="55" t="n"/>
      <c r="V70" s="55">
        <f>W70/U70</f>
        <v/>
      </c>
      <c r="W70" s="128" t="n"/>
      <c r="X70" s="58" t="n"/>
      <c r="Y70" s="58">
        <f>Z70/X70</f>
        <v/>
      </c>
      <c r="Z70" s="129" t="n"/>
      <c r="AA70" s="55" t="n"/>
      <c r="AB70" s="55">
        <f>AC70/AA70</f>
        <v/>
      </c>
      <c r="AC70" s="128" t="n"/>
      <c r="AD70" s="58" t="n"/>
      <c r="AE70" s="58">
        <f>AF70/AD70</f>
        <v/>
      </c>
      <c r="AF70" s="129" t="n"/>
      <c r="AG70" s="55" t="n"/>
      <c r="AH70" s="55">
        <f>AI70/AG70</f>
        <v/>
      </c>
      <c r="AI70" s="128" t="n"/>
      <c r="AJ70" s="58" t="n"/>
      <c r="AK70" s="58">
        <f>AL70/AJ70</f>
        <v/>
      </c>
      <c r="AL70" s="129" t="n"/>
      <c r="AM70" s="55" t="n">
        <v>1.1</v>
      </c>
      <c r="AN70" s="55">
        <f>AO70/AM70</f>
        <v/>
      </c>
      <c r="AO70" s="128" t="n">
        <v>5</v>
      </c>
      <c r="AP70" s="58" t="n"/>
      <c r="AQ70" s="58">
        <f>AR70/AP70</f>
        <v/>
      </c>
      <c r="AR70" s="129" t="n"/>
      <c r="AS70" s="55" t="n"/>
      <c r="AT70" s="55">
        <f>AU70/AS70</f>
        <v/>
      </c>
      <c r="AU70" s="128" t="n"/>
      <c r="AV70" s="58" t="n"/>
      <c r="AW70" s="58">
        <f>AX70/AV70</f>
        <v/>
      </c>
      <c r="AX70" s="129" t="n"/>
      <c r="AY70" s="55" t="n"/>
      <c r="AZ70" s="55">
        <f>BA70/AY70</f>
        <v/>
      </c>
      <c r="BA70" s="55" t="n"/>
      <c r="BB70" s="58" t="n"/>
      <c r="BC70" s="58">
        <f>BD70/BB70</f>
        <v/>
      </c>
      <c r="BD70" s="58" t="n"/>
      <c r="BE70" s="55" t="n"/>
      <c r="BF70" s="55">
        <f>BG70/BE70</f>
        <v/>
      </c>
      <c r="BG70" s="128" t="n"/>
      <c r="BH70" s="58" t="n"/>
      <c r="BI70" s="58">
        <f>BJ70/BH70</f>
        <v/>
      </c>
      <c r="BJ70" s="129" t="n"/>
      <c r="BK70" s="56" t="n"/>
      <c r="BL70" s="56">
        <f>BM70/BK70</f>
        <v/>
      </c>
      <c r="BM70" s="131" t="n"/>
      <c r="BN70" s="58" t="n"/>
      <c r="BO70" s="58">
        <f>BP70/BN70</f>
        <v/>
      </c>
      <c r="BP70" s="129" t="n"/>
      <c r="BQ70" s="55" t="n"/>
      <c r="BR70" s="55">
        <f>BS70/BQ70</f>
        <v/>
      </c>
      <c r="BS70" s="128" t="n"/>
      <c r="BT70" s="58" t="n"/>
      <c r="BU70" s="58">
        <f>BV70/BT70</f>
        <v/>
      </c>
      <c r="BV70" s="129" t="n"/>
      <c r="BW70" s="55" t="n"/>
      <c r="BX70" s="55">
        <f>BY70/BW70</f>
        <v/>
      </c>
      <c r="BY70" s="128" t="n"/>
      <c r="BZ70" s="58" t="n"/>
      <c r="CA70" s="58">
        <f>CB70/BZ70</f>
        <v/>
      </c>
      <c r="CB70" s="129" t="n"/>
      <c r="CC70" s="55" t="n"/>
      <c r="CD70" s="55">
        <f>CE70/CC70</f>
        <v/>
      </c>
      <c r="CE70" s="128" t="n"/>
      <c r="CF70" s="58" t="n"/>
      <c r="CG70" s="58">
        <f>CH70/CF70</f>
        <v/>
      </c>
      <c r="CH70" s="129" t="n"/>
      <c r="CI70" s="55" t="n"/>
      <c r="CJ70" s="55">
        <f>CK70/CI70</f>
        <v/>
      </c>
      <c r="CK70" s="128" t="n"/>
      <c r="CL70" s="58" t="n"/>
      <c r="CM70" s="58">
        <f>CN70/CL70</f>
        <v/>
      </c>
      <c r="CN70" s="129" t="n"/>
      <c r="CO70" s="55" t="n"/>
      <c r="CP70" s="55">
        <f>CQ70/CO70</f>
        <v/>
      </c>
      <c r="CQ70" s="128" t="n"/>
      <c r="CR70" s="58" t="n"/>
      <c r="CS70" s="58">
        <f>CT70/CR70</f>
        <v/>
      </c>
      <c r="CT70" s="129" t="n"/>
      <c r="CU70" s="55" t="n"/>
      <c r="CV70" s="55">
        <f>CW70/CU70</f>
        <v/>
      </c>
      <c r="CW70" s="55" t="n"/>
    </row>
    <row r="71" customFormat="1" s="46">
      <c r="A71" s="42" t="n">
        <v>69</v>
      </c>
      <c r="B71" s="42" t="inlineStr">
        <is>
          <t>ZC000053</t>
        </is>
      </c>
      <c r="C71" s="42" t="inlineStr">
        <is>
          <t>食品类</t>
        </is>
      </c>
      <c r="D71" s="68" t="inlineStr">
        <is>
          <t>金针菇</t>
        </is>
      </c>
      <c r="E71" s="42" t="inlineStr">
        <is>
          <t>斤</t>
        </is>
      </c>
      <c r="F71" s="61" t="n">
        <v>0</v>
      </c>
      <c r="G71" s="133">
        <f>H71/F71</f>
        <v/>
      </c>
      <c r="H71" s="61" t="n">
        <v>0</v>
      </c>
      <c r="I71" s="63" t="n"/>
      <c r="J71" s="63">
        <f>K71/I71</f>
        <v/>
      </c>
      <c r="K71" s="133" t="n"/>
      <c r="L71" s="56" t="n"/>
      <c r="M71" s="56">
        <f>N71/L71</f>
        <v/>
      </c>
      <c r="N71" s="131" t="n"/>
      <c r="O71" s="63" t="n"/>
      <c r="P71" s="134">
        <f>Q71/O71</f>
        <v/>
      </c>
      <c r="Q71" s="133" t="n"/>
      <c r="R71" s="58" t="n"/>
      <c r="S71" s="58">
        <f>T71/R71</f>
        <v/>
      </c>
      <c r="T71" s="129" t="n"/>
      <c r="U71" s="63" t="n"/>
      <c r="V71" s="63">
        <f>W71/U71</f>
        <v/>
      </c>
      <c r="W71" s="133" t="n"/>
      <c r="X71" s="58" t="n"/>
      <c r="Y71" s="58">
        <f>Z71/X71</f>
        <v/>
      </c>
      <c r="Z71" s="129" t="n"/>
      <c r="AA71" s="63" t="n"/>
      <c r="AB71" s="63">
        <f>AC71/AA71</f>
        <v/>
      </c>
      <c r="AC71" s="133" t="n"/>
      <c r="AD71" s="58" t="n"/>
      <c r="AE71" s="58">
        <f>AF71/AD71</f>
        <v/>
      </c>
      <c r="AF71" s="129" t="n"/>
      <c r="AG71" s="63" t="n"/>
      <c r="AH71" s="63">
        <f>AI71/AG71</f>
        <v/>
      </c>
      <c r="AI71" s="133" t="n"/>
      <c r="AJ71" s="58" t="n"/>
      <c r="AK71" s="58">
        <f>AL71/AJ71</f>
        <v/>
      </c>
      <c r="AL71" s="129" t="n"/>
      <c r="AM71" s="63" t="n">
        <v>1</v>
      </c>
      <c r="AN71" s="63">
        <f>AO71/AM71</f>
        <v/>
      </c>
      <c r="AO71" s="133" t="n">
        <v>4</v>
      </c>
      <c r="AP71" s="58" t="n"/>
      <c r="AQ71" s="58">
        <f>AR71/AP71</f>
        <v/>
      </c>
      <c r="AR71" s="129" t="n"/>
      <c r="AS71" s="63" t="n"/>
      <c r="AT71" s="63">
        <f>AU71/AS71</f>
        <v/>
      </c>
      <c r="AU71" s="133" t="n"/>
      <c r="AV71" s="58" t="n"/>
      <c r="AW71" s="58">
        <f>AX71/AV71</f>
        <v/>
      </c>
      <c r="AX71" s="129" t="n"/>
      <c r="AY71" s="63" t="n"/>
      <c r="AZ71" s="63">
        <f>BA71/AY71</f>
        <v/>
      </c>
      <c r="BA71" s="63" t="n"/>
      <c r="BB71" s="58" t="n"/>
      <c r="BC71" s="58">
        <f>BD71/BB71</f>
        <v/>
      </c>
      <c r="BD71" s="58" t="n"/>
      <c r="BE71" s="63" t="n"/>
      <c r="BF71" s="63">
        <f>BG71/BE71</f>
        <v/>
      </c>
      <c r="BG71" s="133" t="n"/>
      <c r="BH71" s="58" t="n"/>
      <c r="BI71" s="58">
        <f>BJ71/BH71</f>
        <v/>
      </c>
      <c r="BJ71" s="129" t="n"/>
      <c r="BK71" s="56" t="n"/>
      <c r="BL71" s="56">
        <f>BM71/BK71</f>
        <v/>
      </c>
      <c r="BM71" s="131" t="n"/>
      <c r="BN71" s="58" t="n"/>
      <c r="BO71" s="58">
        <f>BP71/BN71</f>
        <v/>
      </c>
      <c r="BP71" s="129" t="n"/>
      <c r="BQ71" s="63" t="n"/>
      <c r="BR71" s="63">
        <f>BS71/BQ71</f>
        <v/>
      </c>
      <c r="BS71" s="133" t="n"/>
      <c r="BT71" s="58" t="n"/>
      <c r="BU71" s="58">
        <f>BV71/BT71</f>
        <v/>
      </c>
      <c r="BV71" s="129" t="n"/>
      <c r="BW71" s="63" t="n"/>
      <c r="BX71" s="63">
        <f>BY71/BW71</f>
        <v/>
      </c>
      <c r="BY71" s="133" t="n"/>
      <c r="BZ71" s="58" t="n"/>
      <c r="CA71" s="58">
        <f>CB71/BZ71</f>
        <v/>
      </c>
      <c r="CB71" s="129" t="n"/>
      <c r="CC71" s="63" t="n"/>
      <c r="CD71" s="63">
        <f>CE71/CC71</f>
        <v/>
      </c>
      <c r="CE71" s="133" t="n"/>
      <c r="CF71" s="58" t="n"/>
      <c r="CG71" s="58">
        <f>CH71/CF71</f>
        <v/>
      </c>
      <c r="CH71" s="129" t="n"/>
      <c r="CI71" s="63" t="n"/>
      <c r="CJ71" s="63">
        <f>CK71/CI71</f>
        <v/>
      </c>
      <c r="CK71" s="133" t="n"/>
      <c r="CL71" s="58" t="n"/>
      <c r="CM71" s="58">
        <f>CN71/CL71</f>
        <v/>
      </c>
      <c r="CN71" s="129" t="n"/>
      <c r="CO71" s="63" t="n"/>
      <c r="CP71" s="63">
        <f>CQ71/CO71</f>
        <v/>
      </c>
      <c r="CQ71" s="133" t="n"/>
      <c r="CR71" s="58" t="n"/>
      <c r="CS71" s="58">
        <f>CT71/CR71</f>
        <v/>
      </c>
      <c r="CT71" s="129" t="n"/>
      <c r="CU71" s="63" t="n"/>
      <c r="CV71" s="63">
        <f>CW71/CU71</f>
        <v/>
      </c>
      <c r="CW71" s="63" t="n"/>
    </row>
    <row r="72" customFormat="1" s="46">
      <c r="A72" s="42" t="n">
        <v>70</v>
      </c>
      <c r="B72" s="42" t="inlineStr">
        <is>
          <t>ZC000054</t>
        </is>
      </c>
      <c r="C72" s="42" t="inlineStr">
        <is>
          <t>食品类</t>
        </is>
      </c>
      <c r="D72" s="68" t="inlineStr">
        <is>
          <t>娃娃菜</t>
        </is>
      </c>
      <c r="E72" s="42" t="inlineStr">
        <is>
          <t>包</t>
        </is>
      </c>
      <c r="F72" s="61" t="n">
        <v>0</v>
      </c>
      <c r="G72" s="133">
        <f>H72/F72</f>
        <v/>
      </c>
      <c r="H72" s="61" t="n">
        <v>0</v>
      </c>
      <c r="I72" s="63" t="n"/>
      <c r="J72" s="63">
        <f>K72/I72</f>
        <v/>
      </c>
      <c r="K72" s="133" t="n"/>
      <c r="L72" s="56" t="n"/>
      <c r="M72" s="56">
        <f>N72/L72</f>
        <v/>
      </c>
      <c r="N72" s="131" t="n"/>
      <c r="O72" s="63" t="n"/>
      <c r="P72" s="134">
        <f>Q72/O72</f>
        <v/>
      </c>
      <c r="Q72" s="133" t="n"/>
      <c r="R72" s="58" t="n"/>
      <c r="S72" s="58">
        <f>T72/R72</f>
        <v/>
      </c>
      <c r="T72" s="129" t="n"/>
      <c r="U72" s="63" t="n"/>
      <c r="V72" s="63">
        <f>W72/U72</f>
        <v/>
      </c>
      <c r="W72" s="133" t="n"/>
      <c r="X72" s="58" t="n"/>
      <c r="Y72" s="58">
        <f>Z72/X72</f>
        <v/>
      </c>
      <c r="Z72" s="129" t="n"/>
      <c r="AA72" s="63" t="n"/>
      <c r="AB72" s="63">
        <f>AC72/AA72</f>
        <v/>
      </c>
      <c r="AC72" s="133" t="n"/>
      <c r="AD72" s="58" t="n"/>
      <c r="AE72" s="58">
        <f>AF72/AD72</f>
        <v/>
      </c>
      <c r="AF72" s="129" t="n"/>
      <c r="AG72" s="63" t="n"/>
      <c r="AH72" s="63">
        <f>AI72/AG72</f>
        <v/>
      </c>
      <c r="AI72" s="133" t="n"/>
      <c r="AJ72" s="58" t="n"/>
      <c r="AK72" s="58">
        <f>AL72/AJ72</f>
        <v/>
      </c>
      <c r="AL72" s="129" t="n"/>
      <c r="AM72" s="63" t="n">
        <v>2</v>
      </c>
      <c r="AN72" s="63">
        <f>AO72/AM72</f>
        <v/>
      </c>
      <c r="AO72" s="133" t="n">
        <v>12</v>
      </c>
      <c r="AP72" s="58" t="n"/>
      <c r="AQ72" s="58">
        <f>AR72/AP72</f>
        <v/>
      </c>
      <c r="AR72" s="129" t="n"/>
      <c r="AS72" s="63" t="n"/>
      <c r="AT72" s="63">
        <f>AU72/AS72</f>
        <v/>
      </c>
      <c r="AU72" s="133" t="n"/>
      <c r="AV72" s="58" t="n"/>
      <c r="AW72" s="58">
        <f>AX72/AV72</f>
        <v/>
      </c>
      <c r="AX72" s="129" t="n"/>
      <c r="AY72" s="63" t="n"/>
      <c r="AZ72" s="63">
        <f>BA72/AY72</f>
        <v/>
      </c>
      <c r="BA72" s="63" t="n"/>
      <c r="BB72" s="58" t="n"/>
      <c r="BC72" s="58">
        <f>BD72/BB72</f>
        <v/>
      </c>
      <c r="BD72" s="58" t="n"/>
      <c r="BE72" s="63" t="n"/>
      <c r="BF72" s="63">
        <f>BG72/BE72</f>
        <v/>
      </c>
      <c r="BG72" s="133" t="n"/>
      <c r="BH72" s="58" t="n"/>
      <c r="BI72" s="58">
        <f>BJ72/BH72</f>
        <v/>
      </c>
      <c r="BJ72" s="129" t="n"/>
      <c r="BK72" s="56" t="n"/>
      <c r="BL72" s="56">
        <f>BM72/BK72</f>
        <v/>
      </c>
      <c r="BM72" s="131" t="n"/>
      <c r="BN72" s="58" t="n"/>
      <c r="BO72" s="58">
        <f>BP72/BN72</f>
        <v/>
      </c>
      <c r="BP72" s="129" t="n"/>
      <c r="BQ72" s="63" t="n"/>
      <c r="BR72" s="63">
        <f>BS72/BQ72</f>
        <v/>
      </c>
      <c r="BS72" s="133" t="n"/>
      <c r="BT72" s="58" t="n"/>
      <c r="BU72" s="58">
        <f>BV72/BT72</f>
        <v/>
      </c>
      <c r="BV72" s="129" t="n"/>
      <c r="BW72" s="63" t="n"/>
      <c r="BX72" s="63">
        <f>BY72/BW72</f>
        <v/>
      </c>
      <c r="BY72" s="133" t="n"/>
      <c r="BZ72" s="58" t="n"/>
      <c r="CA72" s="58">
        <f>CB72/BZ72</f>
        <v/>
      </c>
      <c r="CB72" s="129" t="n"/>
      <c r="CC72" s="63" t="n"/>
      <c r="CD72" s="63">
        <f>CE72/CC72</f>
        <v/>
      </c>
      <c r="CE72" s="133" t="n"/>
      <c r="CF72" s="58" t="n"/>
      <c r="CG72" s="58">
        <f>CH72/CF72</f>
        <v/>
      </c>
      <c r="CH72" s="129" t="n"/>
      <c r="CI72" s="63" t="n"/>
      <c r="CJ72" s="63">
        <f>CK72/CI72</f>
        <v/>
      </c>
      <c r="CK72" s="133" t="n"/>
      <c r="CL72" s="58" t="n"/>
      <c r="CM72" s="58">
        <f>CN72/CL72</f>
        <v/>
      </c>
      <c r="CN72" s="129" t="n"/>
      <c r="CO72" s="63" t="n"/>
      <c r="CP72" s="63">
        <f>CQ72/CO72</f>
        <v/>
      </c>
      <c r="CQ72" s="133" t="n"/>
      <c r="CR72" s="58" t="n"/>
      <c r="CS72" s="58">
        <f>CT72/CR72</f>
        <v/>
      </c>
      <c r="CT72" s="129" t="n"/>
      <c r="CU72" s="63" t="n"/>
      <c r="CV72" s="63">
        <f>CW72/CU72</f>
        <v/>
      </c>
      <c r="CW72" s="63" t="n"/>
    </row>
    <row r="73" customFormat="1" s="46">
      <c r="A73" s="42" t="n">
        <v>71</v>
      </c>
      <c r="B73" s="42" t="inlineStr">
        <is>
          <t>ZC000055</t>
        </is>
      </c>
      <c r="C73" s="42" t="inlineStr">
        <is>
          <t>食品类</t>
        </is>
      </c>
      <c r="D73" s="68" t="inlineStr">
        <is>
          <t>猪腱子肉</t>
        </is>
      </c>
      <c r="E73" s="42" t="inlineStr">
        <is>
          <t>斤</t>
        </is>
      </c>
      <c r="F73" s="61" t="n">
        <v>0</v>
      </c>
      <c r="G73" s="133">
        <f>H73/F73</f>
        <v/>
      </c>
      <c r="H73" s="61" t="n">
        <v>0</v>
      </c>
      <c r="I73" s="63" t="n"/>
      <c r="J73" s="63">
        <f>K73/I73</f>
        <v/>
      </c>
      <c r="K73" s="133" t="n"/>
      <c r="L73" s="56" t="n"/>
      <c r="M73" s="56">
        <f>N73/L73</f>
        <v/>
      </c>
      <c r="N73" s="131" t="n"/>
      <c r="O73" s="63" t="n"/>
      <c r="P73" s="134">
        <f>Q73/O73</f>
        <v/>
      </c>
      <c r="Q73" s="133" t="n"/>
      <c r="R73" s="58" t="n"/>
      <c r="S73" s="58">
        <f>T73/R73</f>
        <v/>
      </c>
      <c r="T73" s="129" t="n"/>
      <c r="U73" s="63" t="n"/>
      <c r="V73" s="63">
        <f>W73/U73</f>
        <v/>
      </c>
      <c r="W73" s="133" t="n"/>
      <c r="X73" s="58" t="n"/>
      <c r="Y73" s="58">
        <f>Z73/X73</f>
        <v/>
      </c>
      <c r="Z73" s="129" t="n"/>
      <c r="AA73" s="63" t="n"/>
      <c r="AB73" s="63">
        <f>AC73/AA73</f>
        <v/>
      </c>
      <c r="AC73" s="133" t="n"/>
      <c r="AD73" s="58" t="n"/>
      <c r="AE73" s="58">
        <f>AF73/AD73</f>
        <v/>
      </c>
      <c r="AF73" s="129" t="n"/>
      <c r="AG73" s="63" t="n"/>
      <c r="AH73" s="63">
        <f>AI73/AG73</f>
        <v/>
      </c>
      <c r="AI73" s="133" t="n"/>
      <c r="AJ73" s="58" t="n"/>
      <c r="AK73" s="58">
        <f>AL73/AJ73</f>
        <v/>
      </c>
      <c r="AL73" s="129" t="n"/>
      <c r="AM73" s="63" t="n">
        <v>1.6</v>
      </c>
      <c r="AN73" s="63">
        <f>AO73/AM73</f>
        <v/>
      </c>
      <c r="AO73" s="133" t="n">
        <v>22</v>
      </c>
      <c r="AP73" s="58" t="n"/>
      <c r="AQ73" s="58">
        <f>AR73/AP73</f>
        <v/>
      </c>
      <c r="AR73" s="129" t="n"/>
      <c r="AS73" s="63" t="n">
        <v>1.1</v>
      </c>
      <c r="AT73" s="63">
        <f>AU73/AS73</f>
        <v/>
      </c>
      <c r="AU73" s="133" t="n">
        <v>15</v>
      </c>
      <c r="AV73" s="58" t="n"/>
      <c r="AW73" s="58">
        <f>AX73/AV73</f>
        <v/>
      </c>
      <c r="AX73" s="129" t="n"/>
      <c r="AY73" s="63" t="n"/>
      <c r="AZ73" s="63">
        <f>BA73/AY73</f>
        <v/>
      </c>
      <c r="BA73" s="63" t="n"/>
      <c r="BB73" s="58" t="n"/>
      <c r="BC73" s="58">
        <f>BD73/BB73</f>
        <v/>
      </c>
      <c r="BD73" s="58" t="n"/>
      <c r="BE73" s="63" t="n"/>
      <c r="BF73" s="63">
        <f>BG73/BE73</f>
        <v/>
      </c>
      <c r="BG73" s="133" t="n"/>
      <c r="BH73" s="58" t="n"/>
      <c r="BI73" s="58">
        <f>BJ73/BH73</f>
        <v/>
      </c>
      <c r="BJ73" s="129" t="n"/>
      <c r="BK73" s="56" t="n"/>
      <c r="BL73" s="56">
        <f>BM73/BK73</f>
        <v/>
      </c>
      <c r="BM73" s="131" t="n"/>
      <c r="BN73" s="58" t="n"/>
      <c r="BO73" s="58">
        <f>BP73/BN73</f>
        <v/>
      </c>
      <c r="BP73" s="129" t="n"/>
      <c r="BQ73" s="63" t="n"/>
      <c r="BR73" s="63">
        <f>BS73/BQ73</f>
        <v/>
      </c>
      <c r="BS73" s="133" t="n"/>
      <c r="BT73" s="58" t="n"/>
      <c r="BU73" s="58">
        <f>BV73/BT73</f>
        <v/>
      </c>
      <c r="BV73" s="129" t="n"/>
      <c r="BW73" s="63" t="n"/>
      <c r="BX73" s="63">
        <f>BY73/BW73</f>
        <v/>
      </c>
      <c r="BY73" s="133" t="n"/>
      <c r="BZ73" s="58" t="n"/>
      <c r="CA73" s="58">
        <f>CB73/BZ73</f>
        <v/>
      </c>
      <c r="CB73" s="129" t="n"/>
      <c r="CC73" s="63" t="n"/>
      <c r="CD73" s="63">
        <f>CE73/CC73</f>
        <v/>
      </c>
      <c r="CE73" s="133" t="n"/>
      <c r="CF73" s="58" t="n"/>
      <c r="CG73" s="58">
        <f>CH73/CF73</f>
        <v/>
      </c>
      <c r="CH73" s="129" t="n"/>
      <c r="CI73" s="63" t="n"/>
      <c r="CJ73" s="63">
        <f>CK73/CI73</f>
        <v/>
      </c>
      <c r="CK73" s="133" t="n"/>
      <c r="CL73" s="58" t="n"/>
      <c r="CM73" s="58">
        <f>CN73/CL73</f>
        <v/>
      </c>
      <c r="CN73" s="129" t="n"/>
      <c r="CO73" s="63" t="n"/>
      <c r="CP73" s="63">
        <f>CQ73/CO73</f>
        <v/>
      </c>
      <c r="CQ73" s="133" t="n"/>
      <c r="CR73" s="58" t="n"/>
      <c r="CS73" s="58">
        <f>CT73/CR73</f>
        <v/>
      </c>
      <c r="CT73" s="129" t="n"/>
      <c r="CU73" s="63" t="n"/>
      <c r="CV73" s="63">
        <f>CW73/CU73</f>
        <v/>
      </c>
      <c r="CW73" s="63" t="n"/>
    </row>
    <row r="74">
      <c r="A74" s="13" t="n">
        <v>72</v>
      </c>
      <c r="B74" s="13" t="inlineStr">
        <is>
          <t>ZC000056</t>
        </is>
      </c>
      <c r="C74" s="13" t="inlineStr">
        <is>
          <t>食品类</t>
        </is>
      </c>
      <c r="D74" s="31" t="inlineStr">
        <is>
          <t>黑芝麻小汤圆</t>
        </is>
      </c>
      <c r="E74" s="13" t="inlineStr">
        <is>
          <t>包</t>
        </is>
      </c>
      <c r="F74" s="6">
        <f>I74+L74+O74+R74+U74+X74+AA74+AD74+AG74+AJ74+AM74+AP74+AS74+AV74+AY74+BB74+BE74+BH74+BK74+BN74+BQ74+BT74+BW74+BZ74+CC74+CF74+CI74+CL74+CO74+CR74+CU74</f>
        <v/>
      </c>
      <c r="G74" s="128">
        <f>H74/F74</f>
        <v/>
      </c>
      <c r="H74" s="6">
        <f>K74+N74+Q74+T74+W74+Z74+AC74+AF74+AI74+AL74+AO74+AR74+AU74+AX74+BA74+BD74+BG74+BJ74+BM74+BP74+BS74+BV74+BY74+CB74+CE74+CH74+CK74+CN74+CQ74+CT74+CW74</f>
        <v/>
      </c>
      <c r="I74" s="55" t="n"/>
      <c r="J74" s="55">
        <f>K74/I74</f>
        <v/>
      </c>
      <c r="K74" s="128" t="n"/>
      <c r="L74" s="56" t="n"/>
      <c r="M74" s="56">
        <f>N74/L74</f>
        <v/>
      </c>
      <c r="N74" s="131" t="n"/>
      <c r="O74" s="55" t="n"/>
      <c r="P74" s="55">
        <f>Q74/O74</f>
        <v/>
      </c>
      <c r="Q74" s="128" t="n"/>
      <c r="R74" s="58" t="n"/>
      <c r="S74" s="58">
        <f>T74/R74</f>
        <v/>
      </c>
      <c r="T74" s="129" t="n"/>
      <c r="U74" s="55" t="n"/>
      <c r="V74" s="55">
        <f>W74/U74</f>
        <v/>
      </c>
      <c r="W74" s="128" t="n"/>
      <c r="X74" s="58" t="n"/>
      <c r="Y74" s="58">
        <f>Z74/X74</f>
        <v/>
      </c>
      <c r="Z74" s="129" t="n"/>
      <c r="AA74" s="55" t="n"/>
      <c r="AB74" s="55">
        <f>AC74/AA74</f>
        <v/>
      </c>
      <c r="AC74" s="128" t="n"/>
      <c r="AD74" s="58" t="n"/>
      <c r="AE74" s="58">
        <f>AF74/AD74</f>
        <v/>
      </c>
      <c r="AF74" s="129" t="n"/>
      <c r="AG74" s="55" t="n"/>
      <c r="AH74" s="55">
        <f>AI74/AG74</f>
        <v/>
      </c>
      <c r="AI74" s="128" t="n"/>
      <c r="AJ74" s="58" t="n"/>
      <c r="AK74" s="58">
        <f>AL74/AJ74</f>
        <v/>
      </c>
      <c r="AL74" s="129" t="n"/>
      <c r="AM74" s="55" t="n"/>
      <c r="AN74" s="55">
        <f>AO74/AM74</f>
        <v/>
      </c>
      <c r="AO74" s="128" t="n"/>
      <c r="AP74" s="58" t="n"/>
      <c r="AQ74" s="58">
        <f>AR74/AP74</f>
        <v/>
      </c>
      <c r="AR74" s="129" t="n"/>
      <c r="AS74" s="55" t="n"/>
      <c r="AT74" s="55">
        <f>AU74/AS74</f>
        <v/>
      </c>
      <c r="AU74" s="128" t="n"/>
      <c r="AV74" s="58" t="n"/>
      <c r="AW74" s="58">
        <f>AX74/AV74</f>
        <v/>
      </c>
      <c r="AX74" s="129" t="n"/>
      <c r="AY74" s="55" t="n"/>
      <c r="AZ74" s="55">
        <f>BA74/AY74</f>
        <v/>
      </c>
      <c r="BA74" s="55" t="n"/>
      <c r="BB74" s="58" t="n"/>
      <c r="BC74" s="58">
        <f>BD74/BB74</f>
        <v/>
      </c>
      <c r="BD74" s="58" t="n"/>
      <c r="BE74" s="55" t="n"/>
      <c r="BF74" s="55">
        <f>BG74/BE74</f>
        <v/>
      </c>
      <c r="BG74" s="128" t="n"/>
      <c r="BH74" s="58" t="n"/>
      <c r="BI74" s="58">
        <f>BJ74/BH74</f>
        <v/>
      </c>
      <c r="BJ74" s="129" t="n"/>
      <c r="BK74" s="56" t="n"/>
      <c r="BL74" s="56">
        <f>BM74/BK74</f>
        <v/>
      </c>
      <c r="BM74" s="131" t="n"/>
      <c r="BN74" s="58" t="n"/>
      <c r="BO74" s="58">
        <f>BP74/BN74</f>
        <v/>
      </c>
      <c r="BP74" s="129" t="n"/>
      <c r="BQ74" s="55" t="n"/>
      <c r="BR74" s="55">
        <f>BS74/BQ74</f>
        <v/>
      </c>
      <c r="BS74" s="128" t="n"/>
      <c r="BT74" s="58" t="n"/>
      <c r="BU74" s="58">
        <f>BV74/BT74</f>
        <v/>
      </c>
      <c r="BV74" s="129" t="n"/>
      <c r="BW74" s="55" t="n"/>
      <c r="BX74" s="55">
        <f>BY74/BW74</f>
        <v/>
      </c>
      <c r="BY74" s="128" t="n"/>
      <c r="BZ74" s="58" t="n"/>
      <c r="CA74" s="58">
        <f>CB74/BZ74</f>
        <v/>
      </c>
      <c r="CB74" s="129" t="n"/>
      <c r="CC74" s="55" t="n"/>
      <c r="CD74" s="55">
        <f>CE74/CC74</f>
        <v/>
      </c>
      <c r="CE74" s="128" t="n"/>
      <c r="CF74" s="58" t="n"/>
      <c r="CG74" s="58">
        <f>CH74/CF74</f>
        <v/>
      </c>
      <c r="CH74" s="129" t="n"/>
      <c r="CI74" s="55" t="n"/>
      <c r="CJ74" s="55">
        <f>CK74/CI74</f>
        <v/>
      </c>
      <c r="CK74" s="128" t="n"/>
      <c r="CL74" s="58" t="n"/>
      <c r="CM74" s="58">
        <f>CN74/CL74</f>
        <v/>
      </c>
      <c r="CN74" s="129" t="n"/>
      <c r="CO74" s="55" t="n"/>
      <c r="CP74" s="55">
        <f>CQ74/CO74</f>
        <v/>
      </c>
      <c r="CQ74" s="128" t="n"/>
      <c r="CR74" s="58" t="n"/>
      <c r="CS74" s="58">
        <f>CT74/CR74</f>
        <v/>
      </c>
      <c r="CT74" s="129" t="n"/>
      <c r="CU74" s="55" t="n"/>
      <c r="CV74" s="55">
        <f>CW74/CU74</f>
        <v/>
      </c>
      <c r="CW74" s="55" t="n"/>
    </row>
    <row r="75">
      <c r="A75" s="13" t="n">
        <v>73</v>
      </c>
      <c r="B75" s="13" t="inlineStr">
        <is>
          <t>ZC000057</t>
        </is>
      </c>
      <c r="C75" s="13" t="inlineStr">
        <is>
          <t>食品类</t>
        </is>
      </c>
      <c r="D75" s="31" t="inlineStr">
        <is>
          <t>牛筋丸</t>
        </is>
      </c>
      <c r="E75" s="13" t="inlineStr">
        <is>
          <t>包</t>
        </is>
      </c>
      <c r="F75" s="6">
        <f>I75+L75+O75+R75+U75+X75+AA75+AD75+AG75+AJ75+AM75+AP75+AS75+AV75+AY75+BB75+BE75+BH75+BK75+BN75+BQ75+BT75+BW75+BZ75+CC75+CF75+CI75+CL75+CO75+CR75+CU75</f>
        <v/>
      </c>
      <c r="G75" s="128">
        <f>H75/F75</f>
        <v/>
      </c>
      <c r="H75" s="6">
        <f>K75+N75+Q75+T75+W75+Z75+AC75+AF75+AI75+AL75+AO75+AR75+AU75+AX75+BA75+BD75+BG75+BJ75+BM75+BP75+BS75+BV75+BY75+CB75+CE75+CH75+CK75+CN75+CQ75+CT75+CW75</f>
        <v/>
      </c>
      <c r="I75" s="55" t="n"/>
      <c r="J75" s="55">
        <f>K75/I75</f>
        <v/>
      </c>
      <c r="K75" s="128" t="n"/>
      <c r="L75" s="56" t="n"/>
      <c r="M75" s="56">
        <f>N75/L75</f>
        <v/>
      </c>
      <c r="N75" s="131" t="n"/>
      <c r="O75" s="55" t="n"/>
      <c r="P75" s="55">
        <f>Q75/O75</f>
        <v/>
      </c>
      <c r="Q75" s="128" t="n"/>
      <c r="R75" s="58" t="n"/>
      <c r="S75" s="58">
        <f>T75/R75</f>
        <v/>
      </c>
      <c r="T75" s="129" t="n"/>
      <c r="U75" s="55" t="n"/>
      <c r="V75" s="55">
        <f>W75/U75</f>
        <v/>
      </c>
      <c r="W75" s="128" t="n"/>
      <c r="X75" s="58" t="n"/>
      <c r="Y75" s="58">
        <f>Z75/X75</f>
        <v/>
      </c>
      <c r="Z75" s="129" t="n"/>
      <c r="AA75" s="55" t="n"/>
      <c r="AB75" s="55">
        <f>AC75/AA75</f>
        <v/>
      </c>
      <c r="AC75" s="128" t="n"/>
      <c r="AD75" s="58" t="n"/>
      <c r="AE75" s="58">
        <f>AF75/AD75</f>
        <v/>
      </c>
      <c r="AF75" s="129" t="n"/>
      <c r="AG75" s="55" t="n"/>
      <c r="AH75" s="55">
        <f>AI75/AG75</f>
        <v/>
      </c>
      <c r="AI75" s="128" t="n"/>
      <c r="AJ75" s="58" t="n"/>
      <c r="AK75" s="58">
        <f>AL75/AJ75</f>
        <v/>
      </c>
      <c r="AL75" s="129" t="n"/>
      <c r="AM75" s="55" t="n"/>
      <c r="AN75" s="55">
        <f>AO75/AM75</f>
        <v/>
      </c>
      <c r="AO75" s="128" t="n"/>
      <c r="AP75" s="58" t="n"/>
      <c r="AQ75" s="58">
        <f>AR75/AP75</f>
        <v/>
      </c>
      <c r="AR75" s="129" t="n"/>
      <c r="AS75" s="55" t="n"/>
      <c r="AT75" s="55">
        <f>AU75/AS75</f>
        <v/>
      </c>
      <c r="AU75" s="128" t="n"/>
      <c r="AV75" s="58" t="n"/>
      <c r="AW75" s="58">
        <f>AX75/AV75</f>
        <v/>
      </c>
      <c r="AX75" s="129" t="n"/>
      <c r="AY75" s="55" t="n"/>
      <c r="AZ75" s="55">
        <f>BA75/AY75</f>
        <v/>
      </c>
      <c r="BA75" s="55" t="n"/>
      <c r="BB75" s="58" t="n"/>
      <c r="BC75" s="58">
        <f>BD75/BB75</f>
        <v/>
      </c>
      <c r="BD75" s="58" t="n"/>
      <c r="BE75" s="55" t="n"/>
      <c r="BF75" s="55">
        <f>BG75/BE75</f>
        <v/>
      </c>
      <c r="BG75" s="128" t="n"/>
      <c r="BH75" s="58" t="n"/>
      <c r="BI75" s="58">
        <f>BJ75/BH75</f>
        <v/>
      </c>
      <c r="BJ75" s="129" t="n"/>
      <c r="BK75" s="56" t="n"/>
      <c r="BL75" s="56">
        <f>BM75/BK75</f>
        <v/>
      </c>
      <c r="BM75" s="131" t="n"/>
      <c r="BN75" s="58" t="n"/>
      <c r="BO75" s="58">
        <f>BP75/BN75</f>
        <v/>
      </c>
      <c r="BP75" s="129" t="n"/>
      <c r="BQ75" s="55" t="n"/>
      <c r="BR75" s="55">
        <f>BS75/BQ75</f>
        <v/>
      </c>
      <c r="BS75" s="128" t="n"/>
      <c r="BT75" s="58" t="n"/>
      <c r="BU75" s="58">
        <f>BV75/BT75</f>
        <v/>
      </c>
      <c r="BV75" s="129" t="n"/>
      <c r="BW75" s="55" t="n"/>
      <c r="BX75" s="55">
        <f>BY75/BW75</f>
        <v/>
      </c>
      <c r="BY75" s="128" t="n"/>
      <c r="BZ75" s="58" t="n"/>
      <c r="CA75" s="58">
        <f>CB75/BZ75</f>
        <v/>
      </c>
      <c r="CB75" s="129" t="n"/>
      <c r="CC75" s="55" t="n"/>
      <c r="CD75" s="55">
        <f>CE75/CC75</f>
        <v/>
      </c>
      <c r="CE75" s="128" t="n"/>
      <c r="CF75" s="58" t="n"/>
      <c r="CG75" s="58">
        <f>CH75/CF75</f>
        <v/>
      </c>
      <c r="CH75" s="129" t="n"/>
      <c r="CI75" s="55" t="n"/>
      <c r="CJ75" s="55">
        <f>CK75/CI75</f>
        <v/>
      </c>
      <c r="CK75" s="128" t="n"/>
      <c r="CL75" s="58" t="n"/>
      <c r="CM75" s="58">
        <f>CN75/CL75</f>
        <v/>
      </c>
      <c r="CN75" s="129" t="n"/>
      <c r="CO75" s="55" t="n"/>
      <c r="CP75" s="55">
        <f>CQ75/CO75</f>
        <v/>
      </c>
      <c r="CQ75" s="128" t="n"/>
      <c r="CR75" s="58" t="n"/>
      <c r="CS75" s="58">
        <f>CT75/CR75</f>
        <v/>
      </c>
      <c r="CT75" s="129" t="n"/>
      <c r="CU75" s="55" t="n"/>
      <c r="CV75" s="55">
        <f>CW75/CU75</f>
        <v/>
      </c>
      <c r="CW75" s="55" t="n"/>
    </row>
    <row r="76">
      <c r="A76" s="13" t="n"/>
      <c r="B76" s="13" t="inlineStr">
        <is>
          <t>WG00034</t>
        </is>
      </c>
      <c r="C76" s="13" t="inlineStr">
        <is>
          <t>食品类</t>
        </is>
      </c>
      <c r="D76" s="31" t="inlineStr">
        <is>
          <t>孜然粒</t>
        </is>
      </c>
      <c r="E76" s="13" t="inlineStr">
        <is>
          <t>件</t>
        </is>
      </c>
      <c r="F76" s="6">
        <f>I76+L76+O76+R76+U76+X76+AA76+AD76+AG76+AJ76+AM76+AP76+AS76+AV76+AY76+BB76+BE76+BH76+BK76+BN76+BQ76+BT76+BW76+BZ76+CC76+CF76+CI76+CL76+CO76+CR76+CU76</f>
        <v/>
      </c>
      <c r="G76" s="128">
        <f>H76/F76</f>
        <v/>
      </c>
      <c r="H76" s="6">
        <f>K76+N76+Q76+T76+W76+Z76+AC76+AF76+AI76+AL76+AO76+AR76+AU76+AX76+BA76+BD76+BG76+BJ76+BM76+BP76+BS76+BV76+BY76+CB76+CE76+CH76+CK76+CN76+CQ76+CT76+CW76</f>
        <v/>
      </c>
      <c r="I76" s="55" t="n"/>
      <c r="J76" s="55">
        <f>K76/I76</f>
        <v/>
      </c>
      <c r="K76" s="128" t="n"/>
      <c r="L76" s="56" t="n"/>
      <c r="M76" s="56">
        <f>N76/L76</f>
        <v/>
      </c>
      <c r="N76" s="131" t="n"/>
      <c r="O76" s="55" t="n"/>
      <c r="P76" s="55">
        <f>Q76/O76</f>
        <v/>
      </c>
      <c r="Q76" s="128" t="n"/>
      <c r="R76" s="58" t="n"/>
      <c r="S76" s="58">
        <f>T76/R76</f>
        <v/>
      </c>
      <c r="T76" s="129" t="n"/>
      <c r="U76" s="55" t="n"/>
      <c r="V76" s="55">
        <f>W76/U76</f>
        <v/>
      </c>
      <c r="W76" s="128" t="n"/>
      <c r="X76" s="58" t="n"/>
      <c r="Y76" s="58">
        <f>Z76/X76</f>
        <v/>
      </c>
      <c r="Z76" s="129" t="n"/>
      <c r="AA76" s="55" t="n"/>
      <c r="AB76" s="55">
        <f>AC76/AA76</f>
        <v/>
      </c>
      <c r="AC76" s="128" t="n"/>
      <c r="AD76" s="58" t="n"/>
      <c r="AE76" s="58">
        <f>AF76/AD76</f>
        <v/>
      </c>
      <c r="AF76" s="129" t="n"/>
      <c r="AG76" s="55" t="n"/>
      <c r="AH76" s="55">
        <f>AI76/AG76</f>
        <v/>
      </c>
      <c r="AI76" s="128" t="n"/>
      <c r="AJ76" s="58" t="n"/>
      <c r="AK76" s="58">
        <f>AL76/AJ76</f>
        <v/>
      </c>
      <c r="AL76" s="129" t="n"/>
      <c r="AM76" s="55" t="n"/>
      <c r="AN76" s="55">
        <f>AO76/AM76</f>
        <v/>
      </c>
      <c r="AO76" s="128" t="n"/>
      <c r="AP76" s="58" t="n"/>
      <c r="AQ76" s="58">
        <f>AR76/AP76</f>
        <v/>
      </c>
      <c r="AR76" s="129" t="n"/>
      <c r="AS76" s="55" t="n"/>
      <c r="AT76" s="55">
        <f>AU76/AS76</f>
        <v/>
      </c>
      <c r="AU76" s="128" t="n"/>
      <c r="AV76" s="58" t="n"/>
      <c r="AW76" s="58">
        <f>AX76/AV76</f>
        <v/>
      </c>
      <c r="AX76" s="129" t="n"/>
      <c r="AY76" s="55" t="n"/>
      <c r="AZ76" s="55">
        <f>BA76/AY76</f>
        <v/>
      </c>
      <c r="BA76" s="55" t="n"/>
      <c r="BB76" s="58" t="n"/>
      <c r="BC76" s="58">
        <f>BD76/BB76</f>
        <v/>
      </c>
      <c r="BD76" s="58" t="n"/>
      <c r="BE76" s="55" t="n"/>
      <c r="BF76" s="55">
        <f>BG76/BE76</f>
        <v/>
      </c>
      <c r="BG76" s="128" t="n"/>
      <c r="BH76" s="58" t="n"/>
      <c r="BI76" s="58">
        <f>BJ76/BH76</f>
        <v/>
      </c>
      <c r="BJ76" s="129" t="n"/>
      <c r="BK76" s="56" t="n"/>
      <c r="BL76" s="56">
        <f>BM76/BK76</f>
        <v/>
      </c>
      <c r="BM76" s="131" t="n"/>
      <c r="BN76" s="58" t="n"/>
      <c r="BO76" s="58">
        <f>BP76/BN76</f>
        <v/>
      </c>
      <c r="BP76" s="129" t="n"/>
      <c r="BQ76" s="55" t="n"/>
      <c r="BR76" s="55">
        <f>BS76/BQ76</f>
        <v/>
      </c>
      <c r="BS76" s="128" t="n"/>
      <c r="BT76" s="58" t="n"/>
      <c r="BU76" s="58">
        <f>BV76/BT76</f>
        <v/>
      </c>
      <c r="BV76" s="129" t="n"/>
      <c r="BW76" s="55" t="n"/>
      <c r="BX76" s="55">
        <f>BY76/BW76</f>
        <v/>
      </c>
      <c r="BY76" s="128" t="n"/>
      <c r="BZ76" s="58" t="n"/>
      <c r="CA76" s="58">
        <f>CB76/BZ76</f>
        <v/>
      </c>
      <c r="CB76" s="129" t="n"/>
      <c r="CC76" s="55" t="n"/>
      <c r="CD76" s="55">
        <f>CE76/CC76</f>
        <v/>
      </c>
      <c r="CE76" s="128" t="n"/>
      <c r="CF76" s="58" t="n"/>
      <c r="CG76" s="58">
        <f>CH76/CF76</f>
        <v/>
      </c>
      <c r="CH76" s="129" t="n"/>
      <c r="CI76" s="55" t="n"/>
      <c r="CJ76" s="55">
        <f>CK76/CI76</f>
        <v/>
      </c>
      <c r="CK76" s="128" t="n"/>
      <c r="CL76" s="58" t="n"/>
      <c r="CM76" s="58">
        <f>CN76/CL76</f>
        <v/>
      </c>
      <c r="CN76" s="129" t="n"/>
      <c r="CO76" s="55" t="n"/>
      <c r="CP76" s="55">
        <f>CQ76/CO76</f>
        <v/>
      </c>
      <c r="CQ76" s="128" t="n"/>
      <c r="CR76" s="58" t="n"/>
      <c r="CS76" s="58">
        <f>CT76/CR76</f>
        <v/>
      </c>
      <c r="CT76" s="129" t="n"/>
      <c r="CU76" s="55" t="n"/>
      <c r="CV76" s="55">
        <f>CW76/CU76</f>
        <v/>
      </c>
      <c r="CW76" s="55" t="n"/>
    </row>
    <row r="77">
      <c r="A77" s="13" t="n">
        <v>73</v>
      </c>
      <c r="B77" s="13" t="inlineStr">
        <is>
          <t>YH000030</t>
        </is>
      </c>
      <c r="C77" s="13" t="inlineStr">
        <is>
          <t>易耗品</t>
        </is>
      </c>
      <c r="D77" s="31" t="inlineStr">
        <is>
          <t>漏勺</t>
        </is>
      </c>
      <c r="E77" s="13" t="inlineStr">
        <is>
          <t>个</t>
        </is>
      </c>
      <c r="F77" s="6">
        <f>I77+L77+O77+R77+U77+X77+AA77+AD77+AG77+AJ77+AM77+AP77+AS77+AV77+AY77+BB77+BE77+BH77+BK77+BN77+BQ77+BT77+BW77+BZ77+CC77+CF77+CI77+CL77+CO77+CR77+CU77</f>
        <v/>
      </c>
      <c r="G77" s="128">
        <f>H77/F77</f>
        <v/>
      </c>
      <c r="H77" s="6">
        <f>K77+N77+Q77+T77+W77+Z77+AC77+AF77+AI77+AL77+AO77+AR77+AU77+AX77+BA77+BD77+BG77+BJ77+BM77+BP77+BS77+BV77+BY77+CB77+CE77+CH77+CK77+CN77+CQ77+CT77+CW77</f>
        <v/>
      </c>
      <c r="I77" s="55" t="n"/>
      <c r="J77" s="55">
        <f>K77/I77</f>
        <v/>
      </c>
      <c r="K77" s="128" t="n"/>
      <c r="L77" s="56" t="n"/>
      <c r="M77" s="56">
        <f>N77/L77</f>
        <v/>
      </c>
      <c r="N77" s="131" t="n"/>
      <c r="O77" s="55" t="n"/>
      <c r="P77" s="132">
        <f>Q77/O77</f>
        <v/>
      </c>
      <c r="Q77" s="128" t="n"/>
      <c r="R77" s="58" t="n"/>
      <c r="S77" s="58">
        <f>T77/R77</f>
        <v/>
      </c>
      <c r="T77" s="129" t="n"/>
      <c r="U77" s="55" t="n"/>
      <c r="V77" s="55">
        <f>W77/U77</f>
        <v/>
      </c>
      <c r="W77" s="128" t="n"/>
      <c r="X77" s="58" t="n"/>
      <c r="Y77" s="58">
        <f>Z77/X77</f>
        <v/>
      </c>
      <c r="Z77" s="129" t="n"/>
      <c r="AA77" s="55" t="n"/>
      <c r="AB77" s="55">
        <f>AC77/AA77</f>
        <v/>
      </c>
      <c r="AC77" s="128" t="n"/>
      <c r="AD77" s="58" t="n"/>
      <c r="AE77" s="58">
        <f>AF77/AD77</f>
        <v/>
      </c>
      <c r="AF77" s="129" t="n"/>
      <c r="AG77" s="55" t="n"/>
      <c r="AH77" s="55">
        <f>AI77/AG77</f>
        <v/>
      </c>
      <c r="AI77" s="128" t="n"/>
      <c r="AJ77" s="58" t="n"/>
      <c r="AK77" s="58">
        <f>AL77/AJ77</f>
        <v/>
      </c>
      <c r="AL77" s="129" t="n"/>
      <c r="AM77" s="55" t="n"/>
      <c r="AN77" s="55">
        <f>AO77/AM77</f>
        <v/>
      </c>
      <c r="AO77" s="128" t="n"/>
      <c r="AP77" s="58" t="n"/>
      <c r="AQ77" s="58">
        <f>AR77/AP77</f>
        <v/>
      </c>
      <c r="AR77" s="129" t="n"/>
      <c r="AS77" s="55" t="n"/>
      <c r="AT77" s="55">
        <f>AU77/AS77</f>
        <v/>
      </c>
      <c r="AU77" s="128" t="n"/>
      <c r="AV77" s="58" t="n"/>
      <c r="AW77" s="58">
        <f>AX77/AV77</f>
        <v/>
      </c>
      <c r="AX77" s="129" t="n"/>
      <c r="AY77" s="55" t="n"/>
      <c r="AZ77" s="55">
        <f>BA77/AY77</f>
        <v/>
      </c>
      <c r="BA77" s="55" t="n"/>
      <c r="BB77" s="58" t="n"/>
      <c r="BC77" s="58">
        <f>BD77/BB77</f>
        <v/>
      </c>
      <c r="BD77" s="58" t="n"/>
      <c r="BE77" s="55" t="n"/>
      <c r="BF77" s="55">
        <f>BG77/BE77</f>
        <v/>
      </c>
      <c r="BG77" s="128" t="n"/>
      <c r="BH77" s="58" t="n"/>
      <c r="BI77" s="58">
        <f>BJ77/BH77</f>
        <v/>
      </c>
      <c r="BJ77" s="129" t="n"/>
      <c r="BK77" s="56" t="n"/>
      <c r="BL77" s="56">
        <f>BM77/BK77</f>
        <v/>
      </c>
      <c r="BM77" s="131" t="n"/>
      <c r="BN77" s="58" t="n"/>
      <c r="BO77" s="58">
        <f>BP77/BN77</f>
        <v/>
      </c>
      <c r="BP77" s="129" t="n"/>
      <c r="BQ77" s="55" t="n"/>
      <c r="BR77" s="55">
        <f>BS77/BQ77</f>
        <v/>
      </c>
      <c r="BS77" s="128" t="n"/>
      <c r="BT77" s="58" t="n"/>
      <c r="BU77" s="58">
        <f>BV77/BT77</f>
        <v/>
      </c>
      <c r="BV77" s="129" t="n"/>
      <c r="BW77" s="55" t="n"/>
      <c r="BX77" s="55">
        <f>BY77/BW77</f>
        <v/>
      </c>
      <c r="BY77" s="128" t="n"/>
      <c r="BZ77" s="58" t="n"/>
      <c r="CA77" s="58">
        <f>CB77/BZ77</f>
        <v/>
      </c>
      <c r="CB77" s="129" t="n"/>
      <c r="CC77" s="55" t="n"/>
      <c r="CD77" s="55">
        <f>CE77/CC77</f>
        <v/>
      </c>
      <c r="CE77" s="128" t="n"/>
      <c r="CF77" s="58" t="n"/>
      <c r="CG77" s="58">
        <f>CH77/CF77</f>
        <v/>
      </c>
      <c r="CH77" s="129" t="n"/>
      <c r="CI77" s="55" t="n"/>
      <c r="CJ77" s="55">
        <f>CK77/CI77</f>
        <v/>
      </c>
      <c r="CK77" s="128" t="n"/>
      <c r="CL77" s="58" t="n"/>
      <c r="CM77" s="58">
        <f>CN77/CL77</f>
        <v/>
      </c>
      <c r="CN77" s="129" t="n"/>
      <c r="CO77" s="55" t="n"/>
      <c r="CP77" s="55">
        <f>CQ77/CO77</f>
        <v/>
      </c>
      <c r="CQ77" s="128" t="n"/>
      <c r="CR77" s="58" t="n"/>
      <c r="CS77" s="58">
        <f>CT77/CR77</f>
        <v/>
      </c>
      <c r="CT77" s="129" t="n"/>
      <c r="CU77" s="55" t="n"/>
      <c r="CV77" s="55">
        <f>CW77/CU77</f>
        <v/>
      </c>
      <c r="CW77" s="55" t="n"/>
    </row>
    <row r="78">
      <c r="A78" s="6" t="inlineStr">
        <is>
          <t>合计：</t>
        </is>
      </c>
      <c r="B78" s="7" t="n"/>
      <c r="C78" s="7" t="n"/>
      <c r="D78" s="7" t="n"/>
      <c r="E78" s="8" t="n"/>
      <c r="F78" s="17">
        <f>SUM(F3:F77)</f>
        <v/>
      </c>
      <c r="G78" s="136" t="n"/>
      <c r="H78" s="6">
        <f>SUM(H3:H77)</f>
        <v/>
      </c>
      <c r="I78" s="55" t="n"/>
      <c r="J78" s="55" t="n"/>
      <c r="K78" s="128">
        <f>SUM(K3:K77)</f>
        <v/>
      </c>
      <c r="L78" s="131" t="n"/>
      <c r="M78" s="131" t="n"/>
      <c r="N78" s="131">
        <f>SUM(N3:N77)</f>
        <v/>
      </c>
      <c r="O78" s="128" t="n"/>
      <c r="P78" s="128" t="n"/>
      <c r="Q78" s="128">
        <f>SUM(Q3:Q77)</f>
        <v/>
      </c>
      <c r="R78" s="129" t="n"/>
      <c r="S78" s="129" t="n"/>
      <c r="T78" s="129">
        <f>SUM(T3:T77)</f>
        <v/>
      </c>
      <c r="U78" s="128" t="n"/>
      <c r="V78" s="128" t="n"/>
      <c r="W78" s="128">
        <f>SUM(W3:W77)</f>
        <v/>
      </c>
      <c r="X78" s="129" t="n"/>
      <c r="Y78" s="129" t="n"/>
      <c r="Z78" s="129">
        <f>SUM(Z3:Z77)</f>
        <v/>
      </c>
      <c r="AA78" s="128" t="n"/>
      <c r="AB78" s="128" t="n"/>
      <c r="AC78" s="128">
        <f>SUM(AC3:AC77)</f>
        <v/>
      </c>
      <c r="AD78" s="129" t="n"/>
      <c r="AE78" s="129" t="n"/>
      <c r="AF78" s="129">
        <f>SUM(AF3:AF77)</f>
        <v/>
      </c>
      <c r="AG78" s="128" t="n"/>
      <c r="AH78" s="128" t="n"/>
      <c r="AI78" s="128">
        <f>SUM(AI3:AI77)</f>
        <v/>
      </c>
      <c r="AJ78" s="129" t="n"/>
      <c r="AK78" s="129" t="n"/>
      <c r="AL78" s="129">
        <f>SUM(AL3:AL77)</f>
        <v/>
      </c>
      <c r="AM78" s="128" t="n"/>
      <c r="AN78" s="128" t="n"/>
      <c r="AO78" s="128">
        <f>SUM(AO3:AO77)</f>
        <v/>
      </c>
      <c r="AP78" s="129" t="n"/>
      <c r="AQ78" s="129" t="n"/>
      <c r="AR78" s="129">
        <f>SUM(AR3:AR77)</f>
        <v/>
      </c>
      <c r="AS78" s="128" t="n"/>
      <c r="AT78" s="128" t="n"/>
      <c r="AU78" s="128">
        <f>SUM(AU3:AU77)</f>
        <v/>
      </c>
      <c r="AV78" s="129" t="n"/>
      <c r="AW78" s="129" t="n"/>
      <c r="AX78" s="129">
        <f>SUM(AX3:AX77)</f>
        <v/>
      </c>
      <c r="AY78" s="128" t="n"/>
      <c r="AZ78" s="128" t="n"/>
      <c r="BA78" s="128">
        <f>SUM(BA3:BA77)</f>
        <v/>
      </c>
      <c r="BB78" s="129" t="n"/>
      <c r="BC78" s="129" t="n"/>
      <c r="BD78" s="129">
        <f>SUM(BD3:BD77)</f>
        <v/>
      </c>
      <c r="BE78" s="128" t="n"/>
      <c r="BF78" s="128" t="n"/>
      <c r="BG78" s="128">
        <f>SUM(BG3:BG77)</f>
        <v/>
      </c>
      <c r="BH78" s="129" t="n"/>
      <c r="BI78" s="129" t="n"/>
      <c r="BJ78" s="129">
        <f>SUM(BJ3:BJ77)</f>
        <v/>
      </c>
      <c r="BK78" s="131" t="n"/>
      <c r="BL78" s="131" t="n"/>
      <c r="BM78" s="131">
        <f>SUM(BM3:BM77)</f>
        <v/>
      </c>
      <c r="BN78" s="129" t="n"/>
      <c r="BO78" s="129" t="n"/>
      <c r="BP78" s="129">
        <f>SUM(BP3:BP77)</f>
        <v/>
      </c>
      <c r="BQ78" s="128" t="n"/>
      <c r="BR78" s="128" t="n"/>
      <c r="BS78" s="128">
        <f>SUM(BS3:BS77)</f>
        <v/>
      </c>
      <c r="BT78" s="129" t="n"/>
      <c r="BU78" s="129" t="n"/>
      <c r="BV78" s="129">
        <f>SUM(BV3:BV77)</f>
        <v/>
      </c>
      <c r="BW78" s="128" t="n"/>
      <c r="BX78" s="128" t="n"/>
      <c r="BY78" s="128">
        <f>SUM(BY3:BY77)</f>
        <v/>
      </c>
      <c r="BZ78" s="129" t="n"/>
      <c r="CA78" s="129" t="n"/>
      <c r="CB78" s="129">
        <f>SUM(CB3:CB77)</f>
        <v/>
      </c>
      <c r="CC78" s="128" t="n"/>
      <c r="CD78" s="128" t="n"/>
      <c r="CE78" s="128">
        <f>SUM(CE3:CE77)</f>
        <v/>
      </c>
      <c r="CF78" s="129" t="n"/>
      <c r="CG78" s="129" t="n"/>
      <c r="CH78" s="129">
        <f>SUM(CH3:CH77)</f>
        <v/>
      </c>
      <c r="CI78" s="128" t="n"/>
      <c r="CJ78" s="128" t="n"/>
      <c r="CK78" s="128">
        <f>SUM(CK3:CK77)</f>
        <v/>
      </c>
      <c r="CL78" s="129" t="n"/>
      <c r="CM78" s="129" t="n"/>
      <c r="CN78" s="129">
        <f>SUM(CN3:CN77)</f>
        <v/>
      </c>
      <c r="CO78" s="128" t="n"/>
      <c r="CP78" s="128" t="n"/>
      <c r="CQ78" s="128">
        <f>SUM(CQ3:CQ77)</f>
        <v/>
      </c>
      <c r="CR78" s="129" t="n"/>
      <c r="CS78" s="129" t="n"/>
      <c r="CT78" s="129">
        <f>SUM(CT3:CT77)</f>
        <v/>
      </c>
      <c r="CU78" s="128" t="n"/>
      <c r="CV78" s="128" t="n"/>
      <c r="CW78" s="128">
        <f>SUM(CW3:CW77)</f>
        <v/>
      </c>
    </row>
    <row r="79">
      <c r="BE79" s="0" t="n"/>
      <c r="BF79" s="0" t="n"/>
    </row>
    <row r="80">
      <c r="H80" s="0" t="n">
        <v>70363.00999999999</v>
      </c>
      <c r="N80" s="125">
        <f>42+39+51+15+21+20+20+12+4+52+27+10+9+14</f>
        <v/>
      </c>
    </row>
    <row r="81">
      <c r="H81" s="0">
        <f>H80+H78+I128</f>
        <v/>
      </c>
      <c r="L81" s="125" t="n"/>
      <c r="M81" s="125" t="n"/>
      <c r="O81" s="125" t="n"/>
      <c r="P81" s="125" t="n"/>
      <c r="R81" s="125" t="n"/>
      <c r="S81" s="125" t="n"/>
      <c r="U81" s="125" t="n"/>
      <c r="V81" s="125" t="n"/>
      <c r="X81" s="125" t="n"/>
      <c r="Y81" s="125" t="n"/>
      <c r="AA81" s="125" t="n"/>
      <c r="AB81" s="125" t="n"/>
      <c r="AD81" s="125" t="n"/>
      <c r="AE81" s="125" t="n"/>
      <c r="AG81" s="125" t="n"/>
      <c r="AH81" s="125" t="n"/>
      <c r="AJ81" s="125" t="n"/>
      <c r="AK81" s="125" t="n"/>
      <c r="AM81" s="125" t="n"/>
      <c r="AN81" s="125" t="n"/>
      <c r="AP81" s="125" t="n"/>
      <c r="AQ81" s="125" t="n"/>
      <c r="AS81" s="125" t="n"/>
      <c r="AT81" s="125" t="n"/>
      <c r="AV81" s="125" t="n"/>
      <c r="AW81" s="125" t="n"/>
      <c r="AY81" s="125" t="n"/>
      <c r="AZ81" s="125" t="n"/>
      <c r="BB81" s="125" t="n"/>
      <c r="BC81" s="125" t="n"/>
      <c r="BE81" s="125" t="n"/>
      <c r="BF81" s="125" t="n"/>
      <c r="BH81" s="125" t="n"/>
      <c r="BI81" s="125" t="n"/>
      <c r="BK81" s="125" t="n"/>
      <c r="BL81" s="125" t="n"/>
      <c r="BN81" s="125" t="n"/>
      <c r="BO81" s="125" t="n"/>
      <c r="BQ81" s="125" t="n"/>
      <c r="BR81" s="125" t="n"/>
      <c r="BT81" s="125" t="n"/>
      <c r="BU81" s="125" t="n"/>
      <c r="BW81" s="125" t="n"/>
      <c r="BX81" s="125" t="n"/>
      <c r="BZ81" s="125" t="n"/>
      <c r="CA81" s="125" t="n"/>
      <c r="CB81" s="137" t="n"/>
      <c r="CC81" s="125" t="n"/>
      <c r="CD81" s="125" t="n"/>
      <c r="CF81" s="125" t="n"/>
      <c r="CG81" s="125" t="n"/>
      <c r="CI81" s="125" t="n"/>
      <c r="CJ81" s="125" t="n"/>
      <c r="CL81" s="125" t="n"/>
      <c r="CM81" s="125" t="n"/>
      <c r="CO81" s="125" t="n"/>
      <c r="CP81" s="125" t="n"/>
      <c r="CR81" s="125" t="n"/>
      <c r="CS81" s="125" t="n"/>
    </row>
    <row r="82">
      <c r="X82" s="0" t="n"/>
      <c r="Y82" s="0" t="n"/>
      <c r="Z82" s="137" t="n"/>
      <c r="AA82" s="0" t="n"/>
      <c r="AB82" s="0" t="n"/>
      <c r="AD82" s="0" t="n"/>
      <c r="AE82" s="0" t="n"/>
      <c r="AG82" s="0" t="n"/>
      <c r="AH82" s="0" t="n"/>
      <c r="AJ82" s="0" t="n"/>
      <c r="AK82" s="0" t="n"/>
      <c r="AM82" s="0" t="n"/>
      <c r="AN82" s="0" t="n"/>
      <c r="AP82" s="0" t="n"/>
      <c r="AQ82" s="0" t="n"/>
      <c r="AS82" s="0" t="n"/>
      <c r="AT82" s="0" t="n"/>
      <c r="AV82" s="0" t="n"/>
      <c r="AW82" s="0" t="n"/>
      <c r="AY82" s="0" t="n"/>
      <c r="AZ82" s="0" t="n"/>
      <c r="BA82" s="137" t="n"/>
      <c r="BB82" s="0" t="n"/>
      <c r="BC82" s="0" t="n"/>
      <c r="BE82" s="0" t="n"/>
      <c r="BF82" s="0" t="n"/>
      <c r="BH82" s="0" t="n"/>
      <c r="BI82" s="0" t="n"/>
      <c r="BK82" s="0" t="n"/>
      <c r="BL82" s="0" t="n"/>
      <c r="BN82" s="0" t="n"/>
      <c r="BO82" s="0" t="n"/>
      <c r="BQ82" s="0" t="n"/>
      <c r="BR82" s="0" t="n"/>
      <c r="BT82" s="0" t="n"/>
      <c r="BU82" s="0" t="n"/>
      <c r="BW82" s="0" t="n"/>
      <c r="BX82" s="0" t="n"/>
      <c r="BZ82" s="0" t="n"/>
      <c r="CA82" s="0" t="n"/>
      <c r="CC82" s="0" t="n"/>
      <c r="CD82" s="0" t="n"/>
      <c r="CF82" s="0" t="n"/>
      <c r="CG82" s="0" t="n"/>
      <c r="CI82" s="0" t="n"/>
      <c r="CJ82" s="0" t="n"/>
      <c r="CL82" s="0" t="n"/>
      <c r="CM82" s="0" t="n"/>
      <c r="CO82" s="0" t="n"/>
      <c r="CP82" s="0" t="n"/>
      <c r="CR82" s="0" t="n"/>
      <c r="CS82" s="0" t="n"/>
    </row>
    <row r="83">
      <c r="X83" s="0" t="n"/>
      <c r="Y83" s="0" t="n"/>
      <c r="Z83" s="137" t="n"/>
      <c r="AD83" s="0" t="n"/>
      <c r="AE83" s="0" t="n"/>
      <c r="AG83" s="0" t="n"/>
      <c r="AH83" s="0" t="n"/>
      <c r="AJ83" s="0" t="n"/>
      <c r="AK83" s="0" t="n"/>
      <c r="AM83" s="0" t="n"/>
      <c r="AN83" s="0" t="n"/>
      <c r="AP83" s="0" t="n"/>
      <c r="AQ83" s="0" t="n"/>
      <c r="AS83" s="0" t="n"/>
      <c r="AT83" s="0" t="n"/>
      <c r="AV83" s="0" t="n"/>
      <c r="AW83" s="0" t="n"/>
      <c r="AY83" s="0" t="n"/>
      <c r="AZ83" s="0" t="n"/>
      <c r="BB83" s="0" t="n"/>
      <c r="BC83" s="0" t="n"/>
      <c r="BE83" s="0" t="n"/>
      <c r="BF83" s="0" t="n"/>
      <c r="BH83" s="0" t="n"/>
      <c r="BI83" s="0" t="n"/>
      <c r="BK83" s="0" t="n"/>
      <c r="BL83" s="0" t="n"/>
      <c r="BN83" s="0" t="n"/>
      <c r="BO83" s="0" t="n"/>
      <c r="BQ83" s="0" t="n"/>
      <c r="BR83" s="0" t="n"/>
      <c r="BT83" s="0" t="n"/>
      <c r="BU83" s="0" t="n"/>
      <c r="BW83" s="0" t="n"/>
      <c r="BX83" s="0" t="n"/>
      <c r="BZ83" s="0" t="n"/>
      <c r="CA83" s="0" t="n"/>
      <c r="CC83" s="0" t="n"/>
      <c r="CD83" s="0" t="n"/>
      <c r="CF83" s="0" t="n"/>
      <c r="CG83" s="0" t="n"/>
      <c r="CI83" s="0" t="n"/>
      <c r="CJ83" s="0" t="n"/>
      <c r="CL83" s="0" t="n"/>
      <c r="CM83" s="0" t="n"/>
      <c r="CO83" s="0" t="n"/>
      <c r="CP83" s="0" t="n"/>
      <c r="CR83" s="0" t="n"/>
      <c r="CS83" s="0" t="n"/>
    </row>
    <row r="84">
      <c r="O84" s="0" t="n"/>
      <c r="X84" s="0" t="n"/>
      <c r="Y84" s="0" t="n"/>
      <c r="AA84" s="0" t="n"/>
      <c r="AB84" s="0" t="n"/>
      <c r="AD84" s="0" t="n"/>
      <c r="AE84" s="0" t="n"/>
      <c r="AG84" s="0" t="n"/>
      <c r="AH84" s="0" t="n"/>
      <c r="AJ84" s="0" t="n"/>
      <c r="AK84" s="0" t="n"/>
      <c r="AM84" s="0" t="n"/>
      <c r="AN84" s="0" t="n"/>
      <c r="AP84" s="0" t="n"/>
      <c r="AQ84" s="0" t="n"/>
      <c r="AS84" s="0" t="n"/>
      <c r="AT84" s="0" t="n"/>
      <c r="AV84" s="0" t="n"/>
      <c r="AW84" s="0" t="n"/>
      <c r="AY84" s="0" t="n"/>
      <c r="AZ84" s="0" t="n"/>
      <c r="BB84" s="0" t="n"/>
      <c r="BC84" s="0" t="n"/>
      <c r="BE84" s="0" t="n"/>
      <c r="BF84" s="0" t="n"/>
      <c r="BH84" s="0" t="n"/>
      <c r="BI84" s="0" t="n"/>
      <c r="BK84" s="0" t="n"/>
      <c r="BL84" s="0" t="n"/>
      <c r="BN84" s="0" t="n"/>
      <c r="BO84" s="0" t="n"/>
      <c r="BQ84" s="0" t="n"/>
      <c r="BR84" s="0" t="n"/>
      <c r="BT84" s="0" t="n"/>
      <c r="BU84" s="0" t="n"/>
      <c r="BW84" s="0" t="n"/>
      <c r="BX84" s="0" t="n"/>
      <c r="BZ84" s="0" t="n"/>
      <c r="CA84" s="0" t="n"/>
      <c r="CC84" s="0" t="n"/>
      <c r="CD84" s="0" t="n"/>
      <c r="CF84" s="0" t="n"/>
      <c r="CG84" s="0" t="n"/>
      <c r="CI84" s="0" t="n"/>
      <c r="CJ84" s="0" t="n"/>
      <c r="CL84" s="0" t="n"/>
      <c r="CM84" s="0" t="n"/>
      <c r="CO84" s="0" t="n"/>
      <c r="CP84" s="0" t="n"/>
      <c r="CR84" s="0" t="n"/>
      <c r="CS84" s="0" t="n"/>
    </row>
    <row r="85">
      <c r="C85" s="6" t="inlineStr">
        <is>
          <t>网购物料</t>
        </is>
      </c>
      <c r="D85" s="7" t="n"/>
      <c r="E85" s="7" t="n"/>
      <c r="F85" s="7" t="n"/>
      <c r="G85" s="7" t="n"/>
      <c r="H85" s="7" t="n"/>
      <c r="I85" s="8" t="n"/>
      <c r="O85" s="0" t="n"/>
      <c r="P85" s="0" t="n"/>
      <c r="R85" s="0" t="n"/>
      <c r="S85" s="0" t="n"/>
      <c r="X85" s="0" t="n"/>
      <c r="Y85" s="0" t="n"/>
      <c r="AA85" s="0" t="n"/>
      <c r="AB85" s="0" t="n"/>
      <c r="AD85" s="0" t="n"/>
      <c r="AE85" s="0" t="n"/>
      <c r="AG85" s="0" t="n"/>
      <c r="AH85" s="0" t="n"/>
      <c r="AJ85" s="0" t="n"/>
      <c r="AK85" s="0" t="n"/>
      <c r="AM85" s="0" t="n"/>
      <c r="AN85" s="0" t="n"/>
      <c r="AP85" s="0" t="n"/>
      <c r="AQ85" s="0" t="n"/>
      <c r="AS85" s="0" t="n"/>
      <c r="AT85" s="0" t="n"/>
      <c r="AV85" s="0" t="n"/>
      <c r="AW85" s="0" t="n"/>
      <c r="AY85" s="0" t="n"/>
      <c r="AZ85" s="0" t="n"/>
      <c r="BB85" s="0" t="n"/>
      <c r="BC85" s="0" t="n"/>
      <c r="BE85" s="0" t="n"/>
      <c r="BF85" s="0" t="n"/>
      <c r="BH85" s="0" t="n"/>
      <c r="BI85" s="0" t="n"/>
      <c r="BK85" s="0" t="n"/>
      <c r="BL85" s="0" t="n"/>
      <c r="BN85" s="0" t="n"/>
      <c r="BO85" s="0" t="n"/>
      <c r="BQ85" s="0" t="n"/>
      <c r="BR85" s="0" t="n"/>
      <c r="BT85" s="0" t="n"/>
      <c r="BU85" s="0" t="n"/>
      <c r="BW85" s="0" t="n"/>
      <c r="BX85" s="0" t="n"/>
      <c r="BZ85" s="0" t="n"/>
      <c r="CA85" s="0" t="n"/>
      <c r="CC85" s="0" t="n"/>
      <c r="CD85" s="0" t="n"/>
      <c r="CF85" s="0" t="n"/>
      <c r="CG85" s="0" t="n"/>
      <c r="CI85" s="0" t="n"/>
      <c r="CJ85" s="0" t="n"/>
      <c r="CL85" s="0" t="n"/>
      <c r="CM85" s="0" t="n"/>
      <c r="CO85" s="0" t="n"/>
      <c r="CP85" s="0" t="n"/>
      <c r="CR85" s="0" t="n"/>
      <c r="CS85" s="0" t="n"/>
    </row>
    <row r="86" ht="21" customHeight="1" s="3">
      <c r="C86" s="15" t="inlineStr">
        <is>
          <t>物料代码</t>
        </is>
      </c>
      <c r="D86" s="15" t="inlineStr">
        <is>
          <t>名称</t>
        </is>
      </c>
      <c r="E86" s="70" t="inlineStr">
        <is>
          <t>规格</t>
        </is>
      </c>
      <c r="F86" s="15" t="inlineStr">
        <is>
          <t>单位</t>
        </is>
      </c>
      <c r="G86" s="15" t="inlineStr">
        <is>
          <t>数量</t>
        </is>
      </c>
      <c r="H86" s="15" t="inlineStr">
        <is>
          <t>单价</t>
        </is>
      </c>
      <c r="I86" s="15" t="inlineStr">
        <is>
          <t>金额</t>
        </is>
      </c>
      <c r="J86" s="0" t="n"/>
      <c r="O86" s="0" t="n"/>
      <c r="P86" s="0" t="n"/>
      <c r="R86" s="0" t="n"/>
      <c r="S86" s="0" t="n"/>
      <c r="X86" s="0" t="n"/>
      <c r="Y86" s="0" t="n"/>
      <c r="AA86" s="125" t="n"/>
      <c r="AB86" s="125" t="n"/>
      <c r="AD86" s="125" t="n"/>
      <c r="AE86" s="125" t="n"/>
      <c r="AG86" s="125" t="n"/>
      <c r="AH86" s="125" t="n"/>
      <c r="AJ86" s="125" t="n"/>
      <c r="AK86" s="125" t="n"/>
      <c r="AM86" s="125" t="n"/>
      <c r="AN86" s="125" t="n"/>
      <c r="AP86" s="125" t="n"/>
      <c r="AQ86" s="125" t="n"/>
      <c r="AS86" s="125" t="n"/>
      <c r="AT86" s="125" t="n"/>
      <c r="AV86" s="125" t="n"/>
      <c r="AW86" s="125" t="n"/>
      <c r="AY86" s="125" t="n"/>
      <c r="AZ86" s="125" t="n"/>
      <c r="BB86" s="125" t="n"/>
      <c r="BC86" s="125" t="n"/>
      <c r="BE86" s="125" t="n"/>
      <c r="BF86" s="125" t="n"/>
      <c r="BH86" s="125" t="n"/>
      <c r="BI86" s="125" t="n"/>
      <c r="BK86" s="125" t="n"/>
      <c r="BL86" s="125" t="n"/>
      <c r="BN86" s="125" t="n"/>
      <c r="BO86" s="125" t="n"/>
      <c r="BQ86" s="125" t="n"/>
      <c r="BR86" s="125" t="n"/>
      <c r="BT86" s="125" t="n"/>
      <c r="BU86" s="125" t="n"/>
      <c r="BW86" s="125" t="n"/>
      <c r="BX86" s="125" t="n"/>
      <c r="BZ86" s="125" t="n"/>
      <c r="CA86" s="125" t="n"/>
      <c r="CC86" s="125" t="n"/>
      <c r="CD86" s="125" t="n"/>
      <c r="CF86" s="125" t="n"/>
      <c r="CG86" s="125" t="n"/>
      <c r="CI86" s="125" t="n"/>
      <c r="CJ86" s="125" t="n"/>
      <c r="CL86" s="125" t="n"/>
      <c r="CM86" s="125" t="n"/>
      <c r="CO86" s="125" t="n"/>
      <c r="CP86" s="125" t="n"/>
      <c r="CR86" s="125" t="n"/>
      <c r="CS86" s="125" t="n"/>
    </row>
    <row r="87" ht="14.4" customHeight="1" s="3">
      <c r="C87" s="37" t="inlineStr">
        <is>
          <t>WG00004</t>
        </is>
      </c>
      <c r="D87" s="37" t="inlineStr">
        <is>
          <t>山奈（网购）</t>
        </is>
      </c>
      <c r="E87" s="37" t="n"/>
      <c r="F87" s="37" t="inlineStr">
        <is>
          <t>件</t>
        </is>
      </c>
      <c r="G87" s="37" t="n"/>
      <c r="H87" s="37">
        <f>I87/G87</f>
        <v/>
      </c>
      <c r="I87" s="126" t="n"/>
      <c r="J87" s="0" t="n"/>
    </row>
    <row r="88" ht="14.4" customHeight="1" s="3">
      <c r="C88" s="37" t="inlineStr">
        <is>
          <t>WG00007</t>
        </is>
      </c>
      <c r="D88" s="37" t="inlineStr">
        <is>
          <t>脆哨（网购）</t>
        </is>
      </c>
      <c r="E88" s="37" t="n"/>
      <c r="F88" s="37" t="inlineStr">
        <is>
          <t>件</t>
        </is>
      </c>
      <c r="G88" s="37" t="n"/>
      <c r="H88" s="37">
        <f>I88/G88</f>
        <v/>
      </c>
      <c r="I88" s="126" t="n"/>
      <c r="J88" s="0" t="n"/>
    </row>
    <row r="89" ht="14.4" customHeight="1" s="3">
      <c r="C89" s="37" t="inlineStr">
        <is>
          <t>WG00008</t>
        </is>
      </c>
      <c r="D89" s="37" t="inlineStr">
        <is>
          <t>黄金豆（网购）</t>
        </is>
      </c>
      <c r="E89" s="37" t="n"/>
      <c r="F89" s="37" t="inlineStr">
        <is>
          <t>件</t>
        </is>
      </c>
      <c r="G89" s="37" t="n"/>
      <c r="H89" s="37">
        <f>I89/G89</f>
        <v/>
      </c>
      <c r="I89" s="126" t="n"/>
      <c r="J89" s="0" t="n"/>
    </row>
    <row r="90" ht="14.4" customHeight="1" s="3">
      <c r="C90" s="37" t="inlineStr">
        <is>
          <t>WG00011</t>
        </is>
      </c>
      <c r="D90" s="37" t="inlineStr">
        <is>
          <t>鸡蛋（网购）</t>
        </is>
      </c>
      <c r="E90" s="37" t="n"/>
      <c r="F90" s="37" t="inlineStr">
        <is>
          <t>板</t>
        </is>
      </c>
      <c r="G90" s="37" t="n"/>
      <c r="H90" s="37">
        <f>I90/G90</f>
        <v/>
      </c>
      <c r="I90" s="124" t="n"/>
    </row>
    <row r="91" ht="14.4" customHeight="1" s="3">
      <c r="C91" s="37" t="inlineStr">
        <is>
          <t>WG00013</t>
        </is>
      </c>
      <c r="D91" s="37" t="inlineStr">
        <is>
          <t>椰片（网购）</t>
        </is>
      </c>
      <c r="E91" s="37" t="n"/>
      <c r="F91" s="37" t="inlineStr">
        <is>
          <t>包</t>
        </is>
      </c>
      <c r="G91" s="37" t="n"/>
      <c r="H91" s="37">
        <f>I91/G91</f>
        <v/>
      </c>
      <c r="I91" s="124" t="n"/>
    </row>
    <row r="92" ht="14.4" customHeight="1" s="3">
      <c r="C92" s="37" t="inlineStr">
        <is>
          <t>WG00014</t>
        </is>
      </c>
      <c r="D92" s="37" t="inlineStr">
        <is>
          <t>辣椒油（网购）</t>
        </is>
      </c>
      <c r="E92" s="37" t="n"/>
      <c r="F92" s="37" t="inlineStr">
        <is>
          <t>件</t>
        </is>
      </c>
      <c r="G92" s="37" t="n"/>
      <c r="H92" s="37">
        <f>I92/G92</f>
        <v/>
      </c>
      <c r="I92" s="124" t="n"/>
      <c r="L92" s="0" t="n"/>
      <c r="M92" s="71" t="n"/>
      <c r="O92" s="0" t="n"/>
      <c r="P92" s="0" t="n"/>
      <c r="R92" s="0" t="n"/>
      <c r="S92" s="0" t="n"/>
      <c r="X92" s="0" t="n"/>
      <c r="Y92" s="0" t="n"/>
    </row>
    <row r="93" ht="14.4" customHeight="1" s="3">
      <c r="C93" s="37" t="inlineStr">
        <is>
          <t>WG00015</t>
        </is>
      </c>
      <c r="D93" s="37" t="inlineStr">
        <is>
          <t>薄荷叶（网购）</t>
        </is>
      </c>
      <c r="E93" s="37" t="n"/>
      <c r="F93" s="37" t="inlineStr">
        <is>
          <t>件</t>
        </is>
      </c>
      <c r="G93" s="37" t="n"/>
      <c r="H93" s="37">
        <f>I93/G93</f>
        <v/>
      </c>
      <c r="I93" s="124" t="n"/>
      <c r="M93" s="71" t="n"/>
    </row>
    <row r="94" ht="14.4" customHeight="1" s="3">
      <c r="C94" s="37" t="inlineStr">
        <is>
          <t>WG00018</t>
        </is>
      </c>
      <c r="D94" s="37" t="inlineStr">
        <is>
          <t>鸡毛菜（网购）</t>
        </is>
      </c>
      <c r="E94" s="37" t="n"/>
      <c r="F94" s="37" t="inlineStr">
        <is>
          <t>件</t>
        </is>
      </c>
      <c r="G94" s="37" t="n"/>
      <c r="H94" s="37">
        <f>I94/G94</f>
        <v/>
      </c>
      <c r="I94" s="124" t="n"/>
      <c r="M94" s="71" t="n"/>
    </row>
    <row r="95" ht="14.4" customHeight="1" s="3">
      <c r="C95" s="37" t="inlineStr">
        <is>
          <t>WG00021</t>
        </is>
      </c>
      <c r="D95" s="37" t="inlineStr">
        <is>
          <t>可口可乐</t>
        </is>
      </c>
      <c r="E95" s="37" t="n"/>
      <c r="F95" s="37" t="inlineStr">
        <is>
          <t>箱</t>
        </is>
      </c>
      <c r="G95" s="37" t="n"/>
      <c r="H95" s="37">
        <f>I95/G95</f>
        <v/>
      </c>
      <c r="I95" s="124" t="n"/>
    </row>
    <row r="96" ht="14.4" customHeight="1" s="3">
      <c r="C96" s="37" t="inlineStr">
        <is>
          <t>WG00024</t>
        </is>
      </c>
      <c r="D96" s="37" t="inlineStr">
        <is>
          <t>雪花啤酒 听装</t>
        </is>
      </c>
      <c r="E96" s="37" t="n"/>
      <c r="F96" s="37" t="inlineStr">
        <is>
          <t>箱</t>
        </is>
      </c>
      <c r="G96" s="37" t="n"/>
      <c r="H96" s="37">
        <f>I96/G96</f>
        <v/>
      </c>
      <c r="I96" s="124" t="n"/>
      <c r="J96" s="0" t="n"/>
      <c r="L96" s="0" t="n"/>
      <c r="M96" s="0" t="n"/>
      <c r="O96" s="0" t="n"/>
      <c r="P96" s="0" t="n"/>
      <c r="R96" s="0" t="n"/>
      <c r="S96" s="0" t="n"/>
      <c r="X96" s="0" t="n"/>
      <c r="Y96" s="0" t="n"/>
    </row>
    <row r="97" ht="14.4" customHeight="1" s="3">
      <c r="C97" s="37" t="inlineStr">
        <is>
          <t>WG00028</t>
        </is>
      </c>
      <c r="D97" s="37" t="inlineStr">
        <is>
          <t>萝卜干</t>
        </is>
      </c>
      <c r="E97" s="37" t="n"/>
      <c r="F97" s="37" t="inlineStr">
        <is>
          <t>件</t>
        </is>
      </c>
      <c r="G97" s="37" t="n"/>
      <c r="H97" s="37">
        <f>I97/G97</f>
        <v/>
      </c>
      <c r="I97" s="124" t="n"/>
      <c r="J97" s="0" t="n"/>
      <c r="L97" s="0" t="n"/>
      <c r="M97" s="0" t="n"/>
      <c r="O97" s="0" t="n"/>
      <c r="P97" s="0" t="n"/>
      <c r="R97" s="0" t="n"/>
      <c r="S97" s="0" t="n"/>
      <c r="X97" s="0" t="n"/>
      <c r="Y97" s="0" t="n"/>
    </row>
    <row r="98" ht="14.4" customHeight="1" s="3">
      <c r="C98" s="37" t="inlineStr">
        <is>
          <t>WG00030</t>
        </is>
      </c>
      <c r="D98" s="37" t="inlineStr">
        <is>
          <t>雪碧</t>
        </is>
      </c>
      <c r="E98" s="37" t="n"/>
      <c r="F98" s="37" t="inlineStr">
        <is>
          <t>箱</t>
        </is>
      </c>
      <c r="G98" s="37" t="n"/>
      <c r="H98" s="37">
        <f>I98/G98</f>
        <v/>
      </c>
      <c r="I98" s="124" t="n"/>
    </row>
    <row r="99" ht="14.4" customHeight="1" s="3">
      <c r="C99" s="37" t="inlineStr">
        <is>
          <t>WG00031</t>
        </is>
      </c>
      <c r="D99" s="37" t="inlineStr">
        <is>
          <t>西红柿（网购）</t>
        </is>
      </c>
      <c r="E99" s="37" t="n"/>
      <c r="F99" s="37" t="inlineStr">
        <is>
          <t>件</t>
        </is>
      </c>
      <c r="G99" s="37" t="n"/>
      <c r="H99" s="37">
        <f>I99/G99</f>
        <v/>
      </c>
      <c r="I99" s="124" t="n"/>
      <c r="J99" s="0" t="n"/>
    </row>
    <row r="100" ht="14.4" customHeight="1" s="3">
      <c r="C100" s="37" t="inlineStr">
        <is>
          <t>WG00036</t>
        </is>
      </c>
      <c r="D100" s="37" t="inlineStr">
        <is>
          <t>白灼汁（网购）</t>
        </is>
      </c>
      <c r="E100" s="37" t="n"/>
      <c r="F100" s="37" t="inlineStr">
        <is>
          <t>件</t>
        </is>
      </c>
      <c r="G100" s="37" t="n"/>
      <c r="H100" s="37">
        <f>I100/G100</f>
        <v/>
      </c>
      <c r="I100" s="124" t="n"/>
      <c r="J100" s="0" t="n"/>
    </row>
    <row r="101" ht="14.4" customHeight="1" s="3">
      <c r="C101" s="37" t="inlineStr">
        <is>
          <t>WG00037</t>
        </is>
      </c>
      <c r="D101" s="37" t="inlineStr">
        <is>
          <t>250打包盒（网购）</t>
        </is>
      </c>
      <c r="E101" s="37" t="n"/>
      <c r="F101" s="37" t="inlineStr">
        <is>
          <t>件</t>
        </is>
      </c>
      <c r="G101" s="37" t="n"/>
      <c r="H101" s="37">
        <f>I101/G101</f>
        <v/>
      </c>
      <c r="I101" s="126" t="n"/>
      <c r="J101" s="0" t="n"/>
    </row>
    <row r="102" ht="14.4" customHeight="1" s="3">
      <c r="C102" s="37" t="inlineStr">
        <is>
          <t>WG00039</t>
        </is>
      </c>
      <c r="D102" s="37" t="inlineStr">
        <is>
          <t>面条（网购）</t>
        </is>
      </c>
      <c r="E102" s="37" t="n"/>
      <c r="F102" s="37" t="inlineStr">
        <is>
          <t>件</t>
        </is>
      </c>
      <c r="G102" s="37" t="n"/>
      <c r="H102" s="37">
        <f>I102/G102</f>
        <v/>
      </c>
      <c r="I102" s="126" t="n"/>
      <c r="J102" s="0" t="n"/>
    </row>
    <row r="103" ht="14.4" customHeight="1" s="3">
      <c r="C103" s="37" t="inlineStr">
        <is>
          <t>WG00041</t>
        </is>
      </c>
      <c r="D103" s="37" t="inlineStr">
        <is>
          <t>生姜（网购）</t>
        </is>
      </c>
      <c r="E103" s="37" t="n"/>
      <c r="F103" s="37" t="inlineStr">
        <is>
          <t>件</t>
        </is>
      </c>
      <c r="G103" s="37" t="n"/>
      <c r="H103" s="37">
        <f>I103/G103</f>
        <v/>
      </c>
      <c r="I103" s="126" t="n"/>
      <c r="J103" s="0" t="n"/>
    </row>
    <row r="104" ht="14.4" customHeight="1" s="3">
      <c r="C104" s="37" t="inlineStr">
        <is>
          <t>WG00049</t>
        </is>
      </c>
      <c r="D104" s="37" t="inlineStr">
        <is>
          <t>土豆片(网购)</t>
        </is>
      </c>
      <c r="E104" s="37" t="n"/>
      <c r="F104" s="37" t="inlineStr">
        <is>
          <t>件</t>
        </is>
      </c>
      <c r="G104" s="37" t="n"/>
      <c r="H104" s="37">
        <f>I104/G104</f>
        <v/>
      </c>
      <c r="I104" s="126" t="n"/>
      <c r="J104" s="0" t="n"/>
    </row>
    <row r="105" ht="14.4" customHeight="1" s="3">
      <c r="C105" s="37" t="inlineStr">
        <is>
          <t>WG00051</t>
        </is>
      </c>
      <c r="D105" s="37" t="inlineStr">
        <is>
          <t>陈醋（网购）</t>
        </is>
      </c>
      <c r="E105" s="37" t="n"/>
      <c r="F105" s="37" t="inlineStr">
        <is>
          <t>件</t>
        </is>
      </c>
      <c r="G105" s="37" t="n"/>
      <c r="H105" s="37">
        <f>I105/G105</f>
        <v/>
      </c>
      <c r="I105" s="126" t="n"/>
      <c r="J105" s="0" t="n"/>
    </row>
    <row r="106" ht="14.4" customHeight="1" s="3">
      <c r="C106" s="37" t="inlineStr">
        <is>
          <t>WG00054</t>
        </is>
      </c>
      <c r="D106" s="37" t="inlineStr">
        <is>
          <t>西柚（网购）</t>
        </is>
      </c>
      <c r="E106" s="37" t="n"/>
      <c r="F106" s="37" t="inlineStr">
        <is>
          <t>瓶</t>
        </is>
      </c>
      <c r="G106" s="37" t="n"/>
      <c r="H106" s="37">
        <f>I106/G106</f>
        <v/>
      </c>
      <c r="I106" s="124" t="n"/>
      <c r="J106" s="0" t="n"/>
    </row>
    <row r="107" ht="14.4" customHeight="1" s="3">
      <c r="C107" s="37" t="inlineStr">
        <is>
          <t>WG00055</t>
        </is>
      </c>
      <c r="D107" s="37" t="inlineStr">
        <is>
          <t>西米（网购）</t>
        </is>
      </c>
      <c r="E107" s="37" t="n"/>
      <c r="F107" s="37" t="inlineStr">
        <is>
          <t>瓶</t>
        </is>
      </c>
      <c r="G107" s="37" t="n"/>
      <c r="H107" s="37">
        <f>I107/G107</f>
        <v/>
      </c>
      <c r="I107" s="124" t="n"/>
      <c r="J107" s="0" t="n"/>
    </row>
    <row r="108" ht="14.4" customHeight="1" s="3">
      <c r="C108" s="37" t="inlineStr">
        <is>
          <t>WG00059</t>
        </is>
      </c>
      <c r="D108" s="37" t="inlineStr">
        <is>
          <t>拉丝豆干</t>
        </is>
      </c>
      <c r="E108" s="37" t="n"/>
      <c r="F108" s="37" t="inlineStr">
        <is>
          <t>件</t>
        </is>
      </c>
      <c r="G108" s="37" t="n"/>
      <c r="H108" s="37">
        <f>I108/G108</f>
        <v/>
      </c>
      <c r="I108" s="124" t="n"/>
      <c r="J108" s="0" t="n"/>
    </row>
    <row r="109" ht="14.4" customHeight="1" s="3">
      <c r="C109" s="37" t="inlineStr">
        <is>
          <t>WG00060</t>
        </is>
      </c>
      <c r="D109" s="37" t="inlineStr">
        <is>
          <t>娃娃菜（网购）</t>
        </is>
      </c>
      <c r="E109" s="37" t="n"/>
      <c r="F109" s="37" t="inlineStr">
        <is>
          <t>斤</t>
        </is>
      </c>
      <c r="G109" s="37" t="n"/>
      <c r="H109" s="37">
        <f>I109/G109</f>
        <v/>
      </c>
      <c r="I109" s="124" t="n"/>
      <c r="J109" s="0" t="n"/>
    </row>
    <row r="110" ht="14.4" customHeight="1" s="3">
      <c r="C110" s="37" t="inlineStr">
        <is>
          <t>WG00066</t>
        </is>
      </c>
      <c r="D110" s="37" t="inlineStr">
        <is>
          <t>红枣干（网购）</t>
        </is>
      </c>
      <c r="E110" s="37" t="n"/>
      <c r="F110" s="37" t="inlineStr">
        <is>
          <t>包</t>
        </is>
      </c>
      <c r="G110" s="37" t="n"/>
      <c r="H110" s="37">
        <f>I110/G110</f>
        <v/>
      </c>
      <c r="I110" s="124" t="n"/>
      <c r="J110" s="0" t="n"/>
    </row>
    <row r="111" ht="14.4" customHeight="1" s="3">
      <c r="C111" s="37" t="inlineStr">
        <is>
          <t>WG00069</t>
        </is>
      </c>
      <c r="D111" s="37" t="inlineStr">
        <is>
          <t>枸杞（网购）</t>
        </is>
      </c>
      <c r="E111" s="37" t="n"/>
      <c r="F111" s="37" t="inlineStr">
        <is>
          <t>包</t>
        </is>
      </c>
      <c r="G111" s="37" t="n"/>
      <c r="H111" s="37">
        <f>I111/G111</f>
        <v/>
      </c>
      <c r="I111" s="126" t="n"/>
      <c r="J111" s="0" t="n"/>
    </row>
    <row r="112" ht="14.4" customHeight="1" s="3">
      <c r="C112" s="37" t="inlineStr">
        <is>
          <t>WG00070</t>
        </is>
      </c>
      <c r="D112" s="37" t="inlineStr">
        <is>
          <t>迷你糍粑（网购）</t>
        </is>
      </c>
      <c r="E112" s="37" t="n"/>
      <c r="F112" s="37" t="inlineStr">
        <is>
          <t>件</t>
        </is>
      </c>
      <c r="G112" s="37" t="n"/>
      <c r="H112" s="37">
        <f>I112/G112</f>
        <v/>
      </c>
      <c r="I112" s="126" t="n"/>
      <c r="J112" s="0" t="n"/>
    </row>
    <row r="113" ht="14.4" customHeight="1" s="3">
      <c r="C113" s="37" t="inlineStr">
        <is>
          <t>WG00071</t>
        </is>
      </c>
      <c r="D113" s="37" t="inlineStr">
        <is>
          <t>大米（网购）</t>
        </is>
      </c>
      <c r="E113" s="37" t="n"/>
      <c r="F113" s="37" t="inlineStr">
        <is>
          <t>件</t>
        </is>
      </c>
      <c r="G113" s="37" t="n"/>
      <c r="H113" s="37">
        <f>I113/G113</f>
        <v/>
      </c>
      <c r="I113" s="126" t="n"/>
      <c r="J113" s="0" t="n"/>
    </row>
    <row r="114" ht="14.4" customHeight="1" s="3">
      <c r="C114" s="37" t="inlineStr">
        <is>
          <t>YH000014</t>
        </is>
      </c>
      <c r="D114" s="37" t="inlineStr">
        <is>
          <t>PVC手套</t>
        </is>
      </c>
      <c r="E114" s="37" t="n"/>
      <c r="F114" s="37" t="inlineStr">
        <is>
          <t>盒</t>
        </is>
      </c>
      <c r="G114" s="37" t="n"/>
      <c r="H114" s="37">
        <f>I114/G114</f>
        <v/>
      </c>
      <c r="I114" s="124" t="n"/>
      <c r="J114" s="0" t="n"/>
    </row>
    <row r="115" ht="14.4" customHeight="1" s="3">
      <c r="C115" s="37" t="inlineStr">
        <is>
          <t>YH000018</t>
        </is>
      </c>
      <c r="D115" s="37" t="inlineStr">
        <is>
          <t>纸巾（网购）</t>
        </is>
      </c>
      <c r="E115" s="37" t="n"/>
      <c r="F115" s="37" t="inlineStr">
        <is>
          <t>件</t>
        </is>
      </c>
      <c r="G115" s="37" t="n"/>
      <c r="H115" s="37">
        <f>I115/G115</f>
        <v/>
      </c>
      <c r="I115" s="126" t="n"/>
      <c r="J115" s="0" t="n"/>
    </row>
    <row r="116" ht="14.4" customHeight="1" s="3">
      <c r="C116" s="37" t="inlineStr">
        <is>
          <t>YH000019</t>
        </is>
      </c>
      <c r="D116" s="37" t="inlineStr">
        <is>
          <t>洗洁精</t>
        </is>
      </c>
      <c r="E116" s="37" t="n"/>
      <c r="F116" s="37" t="inlineStr">
        <is>
          <t>件</t>
        </is>
      </c>
      <c r="G116" s="37" t="n"/>
      <c r="H116" s="37">
        <f>I116/G116</f>
        <v/>
      </c>
      <c r="I116" s="124" t="n"/>
      <c r="J116" s="0" t="n"/>
      <c r="L116" s="0" t="n"/>
      <c r="M116" s="0" t="n"/>
      <c r="O116" s="0" t="n"/>
      <c r="P116" s="0" t="n"/>
      <c r="R116" s="0" t="n"/>
      <c r="S116" s="0" t="n"/>
      <c r="X116" s="0" t="n"/>
      <c r="Y116" s="0" t="n"/>
      <c r="AA116" s="0" t="n"/>
      <c r="AB116" s="0" t="n"/>
      <c r="AD116" s="0" t="n"/>
      <c r="AE116" s="0" t="n"/>
      <c r="AG116" s="0" t="n"/>
      <c r="AH116" s="0" t="n"/>
      <c r="AJ116" s="0" t="n"/>
      <c r="AK116" s="0" t="n"/>
      <c r="AM116" s="0" t="n"/>
      <c r="AN116" s="0" t="n"/>
      <c r="AP116" s="0" t="n"/>
      <c r="AQ116" s="0" t="n"/>
      <c r="AS116" s="0" t="n"/>
      <c r="AT116" s="0" t="n"/>
      <c r="AV116" s="0" t="n"/>
      <c r="AW116" s="0" t="n"/>
      <c r="AY116" s="0" t="n"/>
      <c r="AZ116" s="0" t="n"/>
      <c r="BB116" s="0" t="n"/>
      <c r="BC116" s="0" t="n"/>
      <c r="BE116" s="0" t="n"/>
      <c r="BF116" s="0" t="n"/>
      <c r="BH116" s="0" t="n"/>
      <c r="BI116" s="0" t="n"/>
      <c r="BK116" s="0" t="n"/>
      <c r="BL116" s="0" t="n"/>
      <c r="BN116" s="0" t="n"/>
      <c r="BO116" s="0" t="n"/>
      <c r="BQ116" s="0" t="n"/>
      <c r="BR116" s="0" t="n"/>
      <c r="BT116" s="0" t="n"/>
      <c r="BU116" s="0" t="n"/>
      <c r="BW116" s="0" t="n"/>
      <c r="BX116" s="0" t="n"/>
      <c r="BZ116" s="0" t="n"/>
      <c r="CA116" s="0" t="n"/>
      <c r="CC116" s="0" t="n"/>
      <c r="CD116" s="0" t="n"/>
      <c r="CF116" s="0" t="n"/>
      <c r="CG116" s="0" t="n"/>
      <c r="CI116" s="0" t="n"/>
      <c r="CJ116" s="0" t="n"/>
      <c r="CL116" s="0" t="n"/>
      <c r="CM116" s="0" t="n"/>
      <c r="CO116" s="0" t="n"/>
      <c r="CP116" s="0" t="n"/>
      <c r="CR116" s="0" t="n"/>
      <c r="CS116" s="0" t="n"/>
    </row>
    <row r="117" ht="14.4" customHeight="1" s="3">
      <c r="C117" s="37" t="inlineStr">
        <is>
          <t>YH000020</t>
        </is>
      </c>
      <c r="D117" s="37" t="inlineStr">
        <is>
          <t>一次性筷子网购</t>
        </is>
      </c>
      <c r="E117" s="37" t="n"/>
      <c r="F117" s="37" t="inlineStr">
        <is>
          <t>件</t>
        </is>
      </c>
      <c r="G117" s="37" t="n"/>
      <c r="H117" s="37">
        <f>I117/G117</f>
        <v/>
      </c>
      <c r="I117" s="124" t="n"/>
      <c r="J117" s="0" t="n"/>
    </row>
    <row r="118" ht="14.4" customHeight="1" s="3">
      <c r="C118" s="37" t="inlineStr">
        <is>
          <t>YH000021</t>
        </is>
      </c>
      <c r="D118" s="37" t="inlineStr">
        <is>
          <t>垃圾袋（网购）</t>
        </is>
      </c>
      <c r="E118" s="37" t="n"/>
      <c r="F118" s="37" t="inlineStr">
        <is>
          <t>件</t>
        </is>
      </c>
      <c r="G118" s="37" t="n"/>
      <c r="H118" s="37">
        <f>I118/G118</f>
        <v/>
      </c>
      <c r="I118" s="124" t="n"/>
      <c r="J118" s="0" t="n"/>
    </row>
    <row r="119" ht="14.4" customHeight="1" s="3">
      <c r="C119" s="37" t="inlineStr">
        <is>
          <t>YH000024</t>
        </is>
      </c>
      <c r="D119" s="37" t="inlineStr">
        <is>
          <t>缠绕打包膜</t>
        </is>
      </c>
      <c r="E119" s="37" t="n"/>
      <c r="F119" s="37" t="inlineStr">
        <is>
          <t>件</t>
        </is>
      </c>
      <c r="G119" s="37" t="n"/>
      <c r="H119" s="37">
        <f>I119/G119</f>
        <v/>
      </c>
      <c r="I119" s="124" t="n"/>
    </row>
    <row r="120" ht="14.4" customHeight="1" s="3">
      <c r="C120" s="37" t="inlineStr">
        <is>
          <t>YH000031</t>
        </is>
      </c>
      <c r="D120" s="37" t="inlineStr">
        <is>
          <t>一次性口罩</t>
        </is>
      </c>
      <c r="E120" s="37" t="n"/>
      <c r="F120" s="37" t="inlineStr">
        <is>
          <t>件</t>
        </is>
      </c>
      <c r="G120" s="37" t="n"/>
      <c r="H120" s="37">
        <f>I120/G120</f>
        <v/>
      </c>
      <c r="I120" s="124" t="n"/>
    </row>
    <row r="121" ht="14.4" customHeight="1" s="3">
      <c r="C121" s="37" t="inlineStr">
        <is>
          <t>YH000034</t>
        </is>
      </c>
      <c r="D121" s="37" t="inlineStr">
        <is>
          <t>打印纸</t>
        </is>
      </c>
      <c r="E121" s="37" t="n"/>
      <c r="F121" s="37" t="inlineStr">
        <is>
          <t>件</t>
        </is>
      </c>
      <c r="G121" s="37" t="n"/>
      <c r="H121" s="37">
        <f>I121/G121</f>
        <v/>
      </c>
      <c r="I121" s="124" t="n"/>
      <c r="J121" s="0" t="n"/>
    </row>
    <row r="122" ht="14.4" customHeight="1" s="3">
      <c r="C122" s="37" t="inlineStr">
        <is>
          <t>010223</t>
        </is>
      </c>
      <c r="D122" s="37" t="inlineStr">
        <is>
          <t>糯米水晶木薯</t>
        </is>
      </c>
      <c r="E122" s="37" t="inlineStr">
        <is>
          <t>1.5kg/包*10包/件</t>
        </is>
      </c>
      <c r="F122" s="37" t="inlineStr">
        <is>
          <t>件</t>
        </is>
      </c>
      <c r="G122" s="37" t="n"/>
      <c r="H122" s="37">
        <f>I122/G122</f>
        <v/>
      </c>
      <c r="I122" s="124" t="n"/>
      <c r="J122" s="0" t="n"/>
    </row>
    <row r="123" ht="14.4" customHeight="1" s="3">
      <c r="C123" s="108" t="inlineStr">
        <is>
          <t>010083</t>
        </is>
      </c>
      <c r="D123" s="37" t="inlineStr">
        <is>
          <t>台湾卤肉</t>
        </is>
      </c>
      <c r="E123" s="37" t="inlineStr">
        <is>
          <t>150g/包*60包/件</t>
        </is>
      </c>
      <c r="F123" s="37" t="inlineStr">
        <is>
          <t>件</t>
        </is>
      </c>
      <c r="G123" s="37" t="n"/>
      <c r="H123" s="37">
        <f>I123/G123</f>
        <v/>
      </c>
      <c r="I123" s="124" t="n"/>
      <c r="J123" s="0">
        <f>276.67/415.8</f>
        <v/>
      </c>
    </row>
    <row r="124" ht="14.4" customHeight="1" s="3">
      <c r="C124" s="108" t="inlineStr">
        <is>
          <t>010231</t>
        </is>
      </c>
      <c r="D124" s="37" t="inlineStr">
        <is>
          <t>酥脆一口香</t>
        </is>
      </c>
      <c r="E124" s="37" t="inlineStr">
        <is>
          <t>500g/包*10包/件</t>
        </is>
      </c>
      <c r="F124" s="37" t="inlineStr">
        <is>
          <t>件</t>
        </is>
      </c>
      <c r="G124" s="37" t="n"/>
      <c r="H124" s="37">
        <f>I124/G124</f>
        <v/>
      </c>
      <c r="I124" s="124" t="n"/>
      <c r="J124" s="0" t="n"/>
    </row>
    <row r="125" ht="14.4" customHeight="1" s="3">
      <c r="C125" s="37" t="inlineStr">
        <is>
          <t>030029</t>
        </is>
      </c>
      <c r="D125" s="37" t="inlineStr">
        <is>
          <t>粉小主白色汤粉餐盒（1350毫升）</t>
        </is>
      </c>
      <c r="E125" s="37" t="inlineStr">
        <is>
          <t>300个/件</t>
        </is>
      </c>
      <c r="F125" s="37" t="inlineStr">
        <is>
          <t>件</t>
        </is>
      </c>
      <c r="G125" s="37" t="n"/>
      <c r="H125" s="37">
        <f>I125/G125</f>
        <v/>
      </c>
      <c r="I125" s="124" t="n"/>
      <c r="J125" s="0" t="n"/>
    </row>
    <row r="126" ht="14.4" customHeight="1" s="3">
      <c r="C126" s="37" t="inlineStr">
        <is>
          <t>030016</t>
        </is>
      </c>
      <c r="D126" s="37" t="inlineStr">
        <is>
          <t>白色圆形塑料盒盖子+膜内贴</t>
        </is>
      </c>
      <c r="E126" s="37" t="inlineStr">
        <is>
          <t>300个/件</t>
        </is>
      </c>
      <c r="F126" s="37" t="inlineStr">
        <is>
          <t>件</t>
        </is>
      </c>
      <c r="G126" s="37" t="n"/>
      <c r="H126" s="37">
        <f>I126/G126</f>
        <v/>
      </c>
      <c r="I126" s="124" t="n"/>
      <c r="J126" s="0" t="n"/>
    </row>
    <row r="127" ht="14.4" customHeight="1" s="3">
      <c r="C127" s="37" t="inlineStr">
        <is>
          <t>030013</t>
        </is>
      </c>
      <c r="D127" s="37" t="inlineStr">
        <is>
          <t>内托</t>
        </is>
      </c>
      <c r="E127" s="37" t="inlineStr">
        <is>
          <t>150个/件</t>
        </is>
      </c>
      <c r="F127" s="37" t="inlineStr">
        <is>
          <t>件</t>
        </is>
      </c>
      <c r="G127" s="37" t="n"/>
      <c r="H127" s="37">
        <f>I127/G127</f>
        <v/>
      </c>
      <c r="I127" s="124" t="n"/>
      <c r="J127" s="0" t="n"/>
    </row>
    <row r="128">
      <c r="C128" s="72" t="inlineStr">
        <is>
          <t>合计</t>
        </is>
      </c>
      <c r="D128" s="7" t="n"/>
      <c r="E128" s="7" t="n"/>
      <c r="F128" s="7" t="n"/>
      <c r="G128" s="7" t="n"/>
      <c r="H128" s="8" t="n"/>
      <c r="I128" s="15">
        <f>SUM(I87:I127)</f>
        <v/>
      </c>
    </row>
    <row r="130">
      <c r="I130" s="0" t="n">
        <v>92346.77</v>
      </c>
    </row>
    <row r="131">
      <c r="I131" s="0">
        <f>H78+I128+I130</f>
        <v/>
      </c>
    </row>
    <row r="143">
      <c r="I143" s="125" t="n"/>
    </row>
  </sheetData>
  <mergeCells count="40">
    <mergeCell ref="AD1:AF1"/>
    <mergeCell ref="O1:Q1"/>
    <mergeCell ref="BE1:BG1"/>
    <mergeCell ref="BQ1:BS1"/>
    <mergeCell ref="AP1:AR1"/>
    <mergeCell ref="CR1:CT1"/>
    <mergeCell ref="C1:C2"/>
    <mergeCell ref="E1:E2"/>
    <mergeCell ref="AM1:AO1"/>
    <mergeCell ref="L1:N1"/>
    <mergeCell ref="BB1:BD1"/>
    <mergeCell ref="A78:E78"/>
    <mergeCell ref="BN1:BP1"/>
    <mergeCell ref="AY1:BA1"/>
    <mergeCell ref="BH1:BJ1"/>
    <mergeCell ref="I1:K1"/>
    <mergeCell ref="BZ1:CB1"/>
    <mergeCell ref="B1:B2"/>
    <mergeCell ref="X1:Z1"/>
    <mergeCell ref="AJ1:AL1"/>
    <mergeCell ref="BK1:BM1"/>
    <mergeCell ref="U1:W1"/>
    <mergeCell ref="BT1:BV1"/>
    <mergeCell ref="CL1:CN1"/>
    <mergeCell ref="F1:H1"/>
    <mergeCell ref="BW1:BY1"/>
    <mergeCell ref="C85:I85"/>
    <mergeCell ref="R1:T1"/>
    <mergeCell ref="AV1:AX1"/>
    <mergeCell ref="AA1:AC1"/>
    <mergeCell ref="AG1:AI1"/>
    <mergeCell ref="CC1:CE1"/>
    <mergeCell ref="CI1:CK1"/>
    <mergeCell ref="AS1:AU1"/>
    <mergeCell ref="CO1:CQ1"/>
    <mergeCell ref="CU1:CW1"/>
    <mergeCell ref="C128:H128"/>
    <mergeCell ref="D1:D2"/>
    <mergeCell ref="CF1:CH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K36"/>
  <sheetViews>
    <sheetView tabSelected="1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P38" sqref="P38"/>
    </sheetView>
  </sheetViews>
  <sheetFormatPr baseColWidth="8" defaultColWidth="8.891666666666669" defaultRowHeight="13.5"/>
  <cols>
    <col width="8.891666666666669" customWidth="1" style="3" min="1" max="1"/>
    <col width="9.66666666666667" customWidth="1" style="3" min="2" max="2"/>
    <col width="8.891666666666669" customWidth="1" style="3" min="3" max="5"/>
    <col width="9.66666666666667" customWidth="1" style="3" min="6" max="6"/>
    <col width="8.891666666666669" customWidth="1" style="3" min="7" max="7"/>
    <col width="9.66666666666667" customWidth="1" style="3" min="8" max="9"/>
    <col width="8.891666666666669" customWidth="1" style="3" min="10" max="11"/>
    <col width="11.775" customWidth="1" style="3" min="12" max="12"/>
    <col width="8.891666666666669" customWidth="1" style="3" min="13" max="16384"/>
  </cols>
  <sheetData>
    <row r="1">
      <c r="A1" s="6" t="inlineStr">
        <is>
          <t>员工餐(公司采购)</t>
        </is>
      </c>
      <c r="B1" s="7" t="n"/>
      <c r="C1" s="7" t="n"/>
      <c r="D1" s="8" t="n"/>
      <c r="E1" s="6" t="inlineStr">
        <is>
          <t>日物料</t>
        </is>
      </c>
      <c r="F1" s="7" t="n"/>
      <c r="G1" s="7" t="n"/>
      <c r="H1" s="7" t="n"/>
      <c r="I1" s="8" t="n"/>
    </row>
    <row r="2">
      <c r="A2" s="13" t="inlineStr">
        <is>
          <t>序号</t>
        </is>
      </c>
      <c r="B2" s="13" t="inlineStr">
        <is>
          <t>日期</t>
        </is>
      </c>
      <c r="C2" s="13" t="inlineStr">
        <is>
          <t>类别</t>
        </is>
      </c>
      <c r="D2" s="13" t="inlineStr">
        <is>
          <t>金额</t>
        </is>
      </c>
      <c r="E2" s="13" t="inlineStr">
        <is>
          <t>序号</t>
        </is>
      </c>
      <c r="F2" s="13" t="inlineStr">
        <is>
          <t>日期</t>
        </is>
      </c>
      <c r="G2" s="13" t="inlineStr">
        <is>
          <t>类别</t>
        </is>
      </c>
      <c r="H2" s="13" t="inlineStr">
        <is>
          <t>金额</t>
        </is>
      </c>
      <c r="I2" s="13" t="inlineStr">
        <is>
          <t>总计</t>
        </is>
      </c>
    </row>
    <row r="3">
      <c r="A3" s="13" t="n">
        <v>1</v>
      </c>
      <c r="B3" s="41" t="n">
        <v>46235</v>
      </c>
      <c r="C3" s="13" t="inlineStr">
        <is>
          <t>员工餐</t>
        </is>
      </c>
      <c r="D3" s="42" t="n"/>
      <c r="E3" s="13" t="n">
        <v>1</v>
      </c>
      <c r="F3" s="41" t="n">
        <v>46235</v>
      </c>
      <c r="G3" s="42" t="inlineStr">
        <is>
          <t>日物料</t>
        </is>
      </c>
      <c r="H3" s="42" t="n"/>
      <c r="I3" s="42">
        <f>D3+H3</f>
        <v/>
      </c>
      <c r="J3" s="43" t="n"/>
      <c r="K3" s="0">
        <f>J3-I3</f>
        <v/>
      </c>
    </row>
    <row r="4" customFormat="1" s="40">
      <c r="A4" s="44" t="n">
        <v>2</v>
      </c>
      <c r="B4" s="45" t="n">
        <v>46236</v>
      </c>
      <c r="C4" s="44" t="inlineStr">
        <is>
          <t>员工餐</t>
        </is>
      </c>
      <c r="D4" s="44" t="n"/>
      <c r="E4" s="44" t="n">
        <v>2</v>
      </c>
      <c r="F4" s="45" t="n">
        <v>46236</v>
      </c>
      <c r="G4" s="44" t="inlineStr">
        <is>
          <t>日物料</t>
        </is>
      </c>
      <c r="H4" s="44" t="n"/>
      <c r="I4" s="44" t="n"/>
      <c r="J4" s="40" t="n"/>
      <c r="K4" s="40">
        <f>J4-I4</f>
        <v/>
      </c>
    </row>
    <row r="5" customFormat="1" s="40">
      <c r="A5" s="44" t="n">
        <v>3</v>
      </c>
      <c r="B5" s="45" t="n">
        <v>46237</v>
      </c>
      <c r="C5" s="44" t="inlineStr">
        <is>
          <t>员工餐</t>
        </is>
      </c>
      <c r="D5" s="44" t="n"/>
      <c r="E5" s="44" t="n">
        <v>3</v>
      </c>
      <c r="F5" s="45" t="n">
        <v>46237</v>
      </c>
      <c r="G5" s="44" t="inlineStr">
        <is>
          <t>日物料</t>
        </is>
      </c>
      <c r="H5" s="44" t="n"/>
      <c r="I5" s="44">
        <f>D5+H5</f>
        <v/>
      </c>
      <c r="K5" s="40">
        <f>J5-I5</f>
        <v/>
      </c>
    </row>
    <row r="6" customFormat="1" s="40">
      <c r="A6" s="44" t="n">
        <v>4</v>
      </c>
      <c r="B6" s="45" t="n">
        <v>46238</v>
      </c>
      <c r="C6" s="44" t="inlineStr">
        <is>
          <t>员工餐</t>
        </is>
      </c>
      <c r="D6" s="44" t="n"/>
      <c r="E6" s="44" t="n">
        <v>4</v>
      </c>
      <c r="F6" s="45" t="n">
        <v>46238</v>
      </c>
      <c r="G6" s="44" t="inlineStr">
        <is>
          <t>日物料</t>
        </is>
      </c>
      <c r="H6" s="44" t="n"/>
      <c r="I6" s="44">
        <f>D6+H6</f>
        <v/>
      </c>
      <c r="K6" s="40">
        <f>J6-I6</f>
        <v/>
      </c>
    </row>
    <row r="7">
      <c r="A7" s="13" t="n">
        <v>5</v>
      </c>
      <c r="B7" s="41" t="n">
        <v>46239</v>
      </c>
      <c r="C7" s="13" t="inlineStr">
        <is>
          <t>员工餐</t>
        </is>
      </c>
      <c r="D7" s="42" t="n"/>
      <c r="E7" s="44" t="n">
        <v>5</v>
      </c>
      <c r="F7" s="45" t="n">
        <v>46239</v>
      </c>
      <c r="G7" s="42" t="inlineStr">
        <is>
          <t>日物料</t>
        </is>
      </c>
      <c r="H7" s="42" t="n"/>
      <c r="I7" s="42">
        <f>D7+H7</f>
        <v/>
      </c>
      <c r="J7" s="43" t="n"/>
      <c r="K7" s="0">
        <f>J7-I7</f>
        <v/>
      </c>
    </row>
    <row r="8">
      <c r="A8" s="13" t="n">
        <v>6</v>
      </c>
      <c r="B8" s="41" t="n">
        <v>46240</v>
      </c>
      <c r="C8" s="13" t="inlineStr">
        <is>
          <t>员工餐</t>
        </is>
      </c>
      <c r="D8" s="42" t="n"/>
      <c r="E8" s="44" t="n">
        <v>6</v>
      </c>
      <c r="F8" s="45" t="n">
        <v>46240</v>
      </c>
      <c r="G8" s="42" t="inlineStr">
        <is>
          <t>日物料</t>
        </is>
      </c>
      <c r="H8" s="42" t="n"/>
      <c r="I8" s="42">
        <f>D8+H8</f>
        <v/>
      </c>
      <c r="J8" s="43" t="n"/>
      <c r="K8" s="0">
        <f>J8-I8</f>
        <v/>
      </c>
    </row>
    <row r="9">
      <c r="A9" s="13" t="n">
        <v>7</v>
      </c>
      <c r="B9" s="41" t="n">
        <v>46241</v>
      </c>
      <c r="C9" s="13" t="inlineStr">
        <is>
          <t>员工餐</t>
        </is>
      </c>
      <c r="D9" s="42" t="n"/>
      <c r="E9" s="44" t="n">
        <v>7</v>
      </c>
      <c r="F9" s="45" t="n">
        <v>46241</v>
      </c>
      <c r="G9" s="42" t="inlineStr">
        <is>
          <t>日物料</t>
        </is>
      </c>
      <c r="H9" s="42" t="n"/>
      <c r="I9" s="42">
        <f>D9+H9</f>
        <v/>
      </c>
      <c r="J9" s="43" t="n"/>
      <c r="K9" s="0">
        <f>J9-I9</f>
        <v/>
      </c>
    </row>
    <row r="10">
      <c r="A10" s="13" t="n">
        <v>8</v>
      </c>
      <c r="B10" s="41" t="n">
        <v>46242</v>
      </c>
      <c r="C10" s="13" t="inlineStr">
        <is>
          <t>员工餐</t>
        </is>
      </c>
      <c r="D10" s="42" t="n"/>
      <c r="E10" s="44" t="n">
        <v>8</v>
      </c>
      <c r="F10" s="45" t="n">
        <v>46242</v>
      </c>
      <c r="G10" s="42" t="inlineStr">
        <is>
          <t>日物料</t>
        </is>
      </c>
      <c r="H10" s="42" t="n"/>
      <c r="I10" s="42">
        <f>D10+H10</f>
        <v/>
      </c>
      <c r="J10" s="43" t="n"/>
      <c r="K10" s="0">
        <f>J10-I10</f>
        <v/>
      </c>
    </row>
    <row r="11">
      <c r="A11" s="13" t="n">
        <v>9</v>
      </c>
      <c r="B11" s="41" t="n">
        <v>46243</v>
      </c>
      <c r="C11" s="13" t="inlineStr">
        <is>
          <t>员工餐</t>
        </is>
      </c>
      <c r="D11" s="42" t="n"/>
      <c r="E11" s="44" t="n">
        <v>9</v>
      </c>
      <c r="F11" s="45" t="n">
        <v>46243</v>
      </c>
      <c r="G11" s="42" t="inlineStr">
        <is>
          <t>日物料</t>
        </is>
      </c>
      <c r="H11" s="42" t="n"/>
      <c r="I11" s="42">
        <f>D11+H11</f>
        <v/>
      </c>
      <c r="J11" s="43" t="n"/>
      <c r="K11" s="0">
        <f>J11-I11</f>
        <v/>
      </c>
    </row>
    <row r="12">
      <c r="A12" s="13" t="n">
        <v>10</v>
      </c>
      <c r="B12" s="41" t="n">
        <v>46244</v>
      </c>
      <c r="C12" s="13" t="inlineStr">
        <is>
          <t>员工餐</t>
        </is>
      </c>
      <c r="D12" s="42" t="n"/>
      <c r="E12" s="44" t="n">
        <v>10</v>
      </c>
      <c r="F12" s="45" t="n">
        <v>46244</v>
      </c>
      <c r="G12" s="42" t="inlineStr">
        <is>
          <t>日物料</t>
        </is>
      </c>
      <c r="H12" s="42" t="n"/>
      <c r="I12" s="42">
        <f>D12+H12</f>
        <v/>
      </c>
      <c r="J12" s="43" t="n"/>
      <c r="K12" s="0">
        <f>J12-I12</f>
        <v/>
      </c>
    </row>
    <row r="13">
      <c r="A13" s="13" t="n">
        <v>11</v>
      </c>
      <c r="B13" s="41" t="n">
        <v>46245</v>
      </c>
      <c r="C13" s="13" t="inlineStr">
        <is>
          <t>员工餐</t>
        </is>
      </c>
      <c r="D13" s="42" t="n">
        <v>29</v>
      </c>
      <c r="E13" s="44" t="n">
        <v>11</v>
      </c>
      <c r="F13" s="45" t="n">
        <v>46245</v>
      </c>
      <c r="G13" s="42" t="inlineStr">
        <is>
          <t>日物料</t>
        </is>
      </c>
      <c r="H13" s="42" t="n">
        <v>110</v>
      </c>
      <c r="I13" s="42" t="n">
        <v>140</v>
      </c>
      <c r="J13" s="43" t="n"/>
      <c r="K13" s="0" t="n">
        <v>0</v>
      </c>
    </row>
    <row r="14">
      <c r="A14" s="13" t="n">
        <v>12</v>
      </c>
      <c r="B14" s="41" t="n">
        <v>46246</v>
      </c>
      <c r="C14" s="13" t="inlineStr">
        <is>
          <t>员工餐</t>
        </is>
      </c>
      <c r="D14" s="42" t="n">
        <v>64</v>
      </c>
      <c r="E14" s="44" t="n">
        <v>12</v>
      </c>
      <c r="F14" s="45" t="n">
        <v>46246</v>
      </c>
      <c r="G14" s="42" t="inlineStr">
        <is>
          <t>日物料</t>
        </is>
      </c>
      <c r="H14" s="42" t="n">
        <v>58</v>
      </c>
      <c r="I14" s="42" t="n">
        <v>122</v>
      </c>
      <c r="J14" s="43" t="n"/>
      <c r="K14" s="0" t="n">
        <v>0</v>
      </c>
    </row>
    <row r="15">
      <c r="A15" s="13" t="n">
        <v>13</v>
      </c>
      <c r="B15" s="41" t="n">
        <v>46247</v>
      </c>
      <c r="C15" s="13" t="inlineStr">
        <is>
          <t>员工餐</t>
        </is>
      </c>
      <c r="D15" s="42" t="n">
        <v>43</v>
      </c>
      <c r="E15" s="44" t="n">
        <v>13</v>
      </c>
      <c r="F15" s="45" t="n">
        <v>46247</v>
      </c>
      <c r="G15" s="42" t="inlineStr">
        <is>
          <t>日物料</t>
        </is>
      </c>
      <c r="H15" s="42" t="n">
        <v>167</v>
      </c>
      <c r="I15" s="42" t="n">
        <v>210</v>
      </c>
      <c r="J15" s="43" t="n"/>
      <c r="K15" s="0">
        <f>J15-I15</f>
        <v/>
      </c>
    </row>
    <row r="16">
      <c r="A16" s="13" t="n">
        <v>14</v>
      </c>
      <c r="B16" s="41" t="n">
        <v>46248</v>
      </c>
      <c r="C16" s="13" t="inlineStr">
        <is>
          <t>员工餐</t>
        </is>
      </c>
      <c r="D16" s="42" t="n"/>
      <c r="E16" s="44" t="n">
        <v>14</v>
      </c>
      <c r="F16" s="45" t="n">
        <v>46248</v>
      </c>
      <c r="G16" s="42" t="inlineStr">
        <is>
          <t>日物料</t>
        </is>
      </c>
      <c r="H16" s="42" t="n"/>
      <c r="I16" s="42">
        <f>D16+H16</f>
        <v/>
      </c>
      <c r="J16" s="43" t="n"/>
      <c r="K16" s="0">
        <f>J16-I16</f>
        <v/>
      </c>
    </row>
    <row r="17">
      <c r="A17" s="13" t="n">
        <v>15</v>
      </c>
      <c r="B17" s="41" t="n">
        <v>46249</v>
      </c>
      <c r="C17" s="13" t="inlineStr">
        <is>
          <t>员工餐</t>
        </is>
      </c>
      <c r="D17" s="42" t="n"/>
      <c r="E17" s="44" t="n">
        <v>15</v>
      </c>
      <c r="F17" s="45" t="n">
        <v>46249</v>
      </c>
      <c r="G17" s="42" t="inlineStr">
        <is>
          <t>日物料</t>
        </is>
      </c>
      <c r="H17" s="42" t="n"/>
      <c r="I17" s="42">
        <f>D17+H17</f>
        <v/>
      </c>
      <c r="J17" s="43" t="n"/>
      <c r="K17" s="0">
        <f>J17-I17</f>
        <v/>
      </c>
    </row>
    <row r="18">
      <c r="A18" s="13" t="n">
        <v>16</v>
      </c>
      <c r="B18" s="41" t="n">
        <v>46250</v>
      </c>
      <c r="C18" s="13" t="inlineStr">
        <is>
          <t>员工餐</t>
        </is>
      </c>
      <c r="D18" s="42" t="n"/>
      <c r="E18" s="44" t="n">
        <v>16</v>
      </c>
      <c r="F18" s="45" t="n">
        <v>46250</v>
      </c>
      <c r="G18" s="42" t="inlineStr">
        <is>
          <t>日物料</t>
        </is>
      </c>
      <c r="H18" s="42" t="n"/>
      <c r="I18" s="42">
        <f>D18+H18</f>
        <v/>
      </c>
      <c r="J18" s="43" t="n"/>
      <c r="K18" s="0">
        <f>J18-I18</f>
        <v/>
      </c>
    </row>
    <row r="19">
      <c r="A19" s="13" t="n">
        <v>17</v>
      </c>
      <c r="B19" s="41" t="n">
        <v>46251</v>
      </c>
      <c r="C19" s="13" t="inlineStr">
        <is>
          <t>员工餐</t>
        </is>
      </c>
      <c r="D19" s="42" t="n"/>
      <c r="E19" s="44" t="n">
        <v>17</v>
      </c>
      <c r="F19" s="45" t="n">
        <v>46251</v>
      </c>
      <c r="G19" s="42" t="inlineStr">
        <is>
          <t>日物料</t>
        </is>
      </c>
      <c r="H19" s="42" t="n"/>
      <c r="I19" s="42">
        <f>D19+H19</f>
        <v/>
      </c>
      <c r="J19" s="43" t="n"/>
      <c r="K19" s="0">
        <f>J19-I19</f>
        <v/>
      </c>
    </row>
    <row r="20">
      <c r="A20" s="13" t="n">
        <v>18</v>
      </c>
      <c r="B20" s="41" t="n">
        <v>46252</v>
      </c>
      <c r="C20" s="13" t="inlineStr">
        <is>
          <t>员工餐</t>
        </is>
      </c>
      <c r="D20" s="42" t="n"/>
      <c r="E20" s="44" t="n">
        <v>18</v>
      </c>
      <c r="F20" s="45" t="n">
        <v>46252</v>
      </c>
      <c r="G20" s="42" t="inlineStr">
        <is>
          <t>日物料</t>
        </is>
      </c>
      <c r="H20" s="42" t="n"/>
      <c r="I20" s="42">
        <f>D20+H20</f>
        <v/>
      </c>
      <c r="J20" s="43" t="n"/>
      <c r="K20" s="0">
        <f>J20-I20</f>
        <v/>
      </c>
    </row>
    <row r="21" customFormat="1" s="40">
      <c r="A21" s="44" t="n">
        <v>19</v>
      </c>
      <c r="B21" s="45" t="n">
        <v>46253</v>
      </c>
      <c r="C21" s="44" t="inlineStr">
        <is>
          <t>员工餐</t>
        </is>
      </c>
      <c r="D21" s="44" t="n"/>
      <c r="E21" s="44" t="n">
        <v>19</v>
      </c>
      <c r="F21" s="45" t="n">
        <v>46253</v>
      </c>
      <c r="G21" s="44" t="inlineStr">
        <is>
          <t>日物料</t>
        </is>
      </c>
      <c r="H21" s="44" t="n"/>
      <c r="I21" s="44">
        <f>D21+H21</f>
        <v/>
      </c>
    </row>
    <row r="22">
      <c r="A22" s="13" t="n">
        <v>20</v>
      </c>
      <c r="B22" s="41" t="n">
        <v>46254</v>
      </c>
      <c r="C22" s="13" t="inlineStr">
        <is>
          <t>员工餐</t>
        </is>
      </c>
      <c r="D22" s="42" t="n"/>
      <c r="E22" s="44" t="n">
        <v>20</v>
      </c>
      <c r="F22" s="45" t="n">
        <v>46254</v>
      </c>
      <c r="G22" s="42" t="inlineStr">
        <is>
          <t>日物料</t>
        </is>
      </c>
      <c r="H22" s="42" t="n"/>
      <c r="I22" s="42">
        <f>D22+H22</f>
        <v/>
      </c>
      <c r="J22" s="43" t="n"/>
      <c r="K22" s="0">
        <f>J22-I22</f>
        <v/>
      </c>
    </row>
    <row r="23">
      <c r="A23" s="13" t="n">
        <v>21</v>
      </c>
      <c r="B23" s="41" t="n">
        <v>46255</v>
      </c>
      <c r="C23" s="13" t="inlineStr">
        <is>
          <t>员工餐</t>
        </is>
      </c>
      <c r="D23" s="42" t="n"/>
      <c r="E23" s="44" t="n">
        <v>21</v>
      </c>
      <c r="F23" s="45" t="n">
        <v>46255</v>
      </c>
      <c r="G23" s="42" t="inlineStr">
        <is>
          <t>日物料</t>
        </is>
      </c>
      <c r="H23" s="42" t="n"/>
      <c r="I23" s="42">
        <f>D23+H23</f>
        <v/>
      </c>
      <c r="J23" s="43" t="n"/>
      <c r="K23" s="0">
        <f>J23-I23</f>
        <v/>
      </c>
    </row>
    <row r="24">
      <c r="A24" s="13" t="n">
        <v>22</v>
      </c>
      <c r="B24" s="41" t="n">
        <v>46256</v>
      </c>
      <c r="C24" s="13" t="inlineStr">
        <is>
          <t>员工餐</t>
        </is>
      </c>
      <c r="D24" s="42" t="n"/>
      <c r="E24" s="44" t="n">
        <v>22</v>
      </c>
      <c r="F24" s="45" t="n">
        <v>46256</v>
      </c>
      <c r="G24" s="42" t="inlineStr">
        <is>
          <t>日物料</t>
        </is>
      </c>
      <c r="H24" s="42" t="n"/>
      <c r="I24" s="42" t="n"/>
      <c r="J24" s="43" t="n"/>
      <c r="K24" s="0">
        <f>J24-I24</f>
        <v/>
      </c>
    </row>
    <row r="25">
      <c r="A25" s="13" t="n">
        <v>23</v>
      </c>
      <c r="B25" s="41" t="n">
        <v>46257</v>
      </c>
      <c r="C25" s="13" t="inlineStr">
        <is>
          <t>员工餐</t>
        </is>
      </c>
      <c r="D25" s="42" t="n"/>
      <c r="E25" s="44" t="n">
        <v>23</v>
      </c>
      <c r="F25" s="45" t="n">
        <v>46257</v>
      </c>
      <c r="G25" s="42" t="inlineStr">
        <is>
          <t>日物料</t>
        </is>
      </c>
      <c r="H25" s="42" t="n"/>
      <c r="I25" s="42">
        <f>D25+H25</f>
        <v/>
      </c>
      <c r="J25" s="43" t="n"/>
      <c r="K25" s="0">
        <f>J25-I25</f>
        <v/>
      </c>
    </row>
    <row r="26">
      <c r="A26" s="13" t="n">
        <v>24</v>
      </c>
      <c r="B26" s="41" t="n">
        <v>46258</v>
      </c>
      <c r="C26" s="13" t="inlineStr">
        <is>
          <t>员工餐</t>
        </is>
      </c>
      <c r="D26" s="42" t="n"/>
      <c r="E26" s="13" t="n">
        <v>24</v>
      </c>
      <c r="F26" s="41" t="n">
        <v>46258</v>
      </c>
      <c r="G26" s="42" t="inlineStr">
        <is>
          <t>日物料</t>
        </is>
      </c>
      <c r="H26" s="42" t="n"/>
      <c r="I26" s="42">
        <f>D26+H26</f>
        <v/>
      </c>
      <c r="J26" s="43" t="n"/>
      <c r="K26" s="0">
        <f>J26-I26</f>
        <v/>
      </c>
    </row>
    <row r="27">
      <c r="A27" s="13" t="n">
        <v>25</v>
      </c>
      <c r="B27" s="41" t="n">
        <v>46259</v>
      </c>
      <c r="C27" s="13" t="inlineStr">
        <is>
          <t>员工餐</t>
        </is>
      </c>
      <c r="D27" s="42" t="n"/>
      <c r="E27" s="13" t="n">
        <v>25</v>
      </c>
      <c r="F27" s="41" t="n">
        <v>46259</v>
      </c>
      <c r="G27" s="42" t="inlineStr">
        <is>
          <t>日物料</t>
        </is>
      </c>
      <c r="H27" s="42" t="n"/>
      <c r="I27" s="42">
        <f>D27+H27</f>
        <v/>
      </c>
      <c r="J27" s="43" t="n"/>
      <c r="K27" s="0">
        <f>J27-I27</f>
        <v/>
      </c>
    </row>
    <row r="28">
      <c r="A28" s="13" t="n">
        <v>26</v>
      </c>
      <c r="B28" s="41" t="n">
        <v>46260</v>
      </c>
      <c r="C28" s="13" t="inlineStr">
        <is>
          <t>员工餐</t>
        </is>
      </c>
      <c r="D28" s="42" t="n"/>
      <c r="E28" s="13" t="n">
        <v>26</v>
      </c>
      <c r="F28" s="41" t="n">
        <v>46260</v>
      </c>
      <c r="G28" s="42" t="inlineStr">
        <is>
          <t>日物料</t>
        </is>
      </c>
      <c r="H28" s="42" t="n"/>
      <c r="I28" s="42">
        <f>D28+H28</f>
        <v/>
      </c>
      <c r="J28" s="43" t="n"/>
      <c r="K28" s="0">
        <f>J28-I28</f>
        <v/>
      </c>
    </row>
    <row r="29">
      <c r="A29" s="13" t="n">
        <v>27</v>
      </c>
      <c r="B29" s="41" t="n">
        <v>46261</v>
      </c>
      <c r="C29" s="13" t="inlineStr">
        <is>
          <t>员工餐</t>
        </is>
      </c>
      <c r="D29" s="42" t="n"/>
      <c r="E29" s="13" t="n">
        <v>27</v>
      </c>
      <c r="F29" s="41" t="n">
        <v>46261</v>
      </c>
      <c r="G29" s="42" t="inlineStr">
        <is>
          <t>日物料</t>
        </is>
      </c>
      <c r="H29" s="42" t="n"/>
      <c r="I29" s="42">
        <f>D29+H29</f>
        <v/>
      </c>
      <c r="J29" s="43" t="n"/>
      <c r="K29" s="0">
        <f>J29-I29</f>
        <v/>
      </c>
    </row>
    <row r="30">
      <c r="A30" s="13" t="n">
        <v>28</v>
      </c>
      <c r="B30" s="41" t="n">
        <v>46262</v>
      </c>
      <c r="C30" s="13" t="inlineStr">
        <is>
          <t>员工餐</t>
        </is>
      </c>
      <c r="D30" s="42" t="n"/>
      <c r="E30" s="13" t="n">
        <v>28</v>
      </c>
      <c r="F30" s="41" t="n">
        <v>46262</v>
      </c>
      <c r="G30" s="42" t="inlineStr">
        <is>
          <t>日物料</t>
        </is>
      </c>
      <c r="H30" s="42" t="n"/>
      <c r="I30" s="42">
        <f>D30+H30</f>
        <v/>
      </c>
      <c r="J30" s="43" t="n"/>
      <c r="K30" s="0">
        <f>J30-I30</f>
        <v/>
      </c>
    </row>
    <row r="31">
      <c r="A31" s="13" t="n">
        <v>29</v>
      </c>
      <c r="B31" s="41" t="n">
        <v>46263</v>
      </c>
      <c r="C31" s="13" t="inlineStr">
        <is>
          <t>员工餐</t>
        </is>
      </c>
      <c r="D31" s="42" t="n"/>
      <c r="E31" s="13" t="n">
        <v>29</v>
      </c>
      <c r="F31" s="41" t="n">
        <v>46263</v>
      </c>
      <c r="G31" s="42" t="inlineStr">
        <is>
          <t>日物料</t>
        </is>
      </c>
      <c r="H31" s="42" t="n"/>
      <c r="I31" s="42">
        <f>D31+H31</f>
        <v/>
      </c>
      <c r="J31" s="43" t="n"/>
      <c r="K31" s="0">
        <f>J31-I31</f>
        <v/>
      </c>
    </row>
    <row r="32">
      <c r="A32" s="13" t="n">
        <v>30</v>
      </c>
      <c r="B32" s="41" t="n">
        <v>46264</v>
      </c>
      <c r="C32" s="13" t="inlineStr">
        <is>
          <t>员工餐</t>
        </is>
      </c>
      <c r="D32" s="42" t="n"/>
      <c r="E32" s="13" t="n">
        <v>30</v>
      </c>
      <c r="F32" s="41" t="n">
        <v>46264</v>
      </c>
      <c r="G32" s="42" t="inlineStr">
        <is>
          <t>日物料</t>
        </is>
      </c>
      <c r="H32" s="42" t="n"/>
      <c r="I32" s="42">
        <f>D32+H32</f>
        <v/>
      </c>
      <c r="J32" s="43" t="n"/>
      <c r="K32" s="0">
        <f>J32-I32</f>
        <v/>
      </c>
    </row>
    <row r="33">
      <c r="A33" s="13" t="n">
        <v>31</v>
      </c>
      <c r="B33" s="41" t="n">
        <v>46265</v>
      </c>
      <c r="C33" s="13" t="inlineStr">
        <is>
          <t>员工餐</t>
        </is>
      </c>
      <c r="D33" s="42" t="n"/>
      <c r="E33" s="13" t="n">
        <v>31</v>
      </c>
      <c r="F33" s="41" t="n">
        <v>46265</v>
      </c>
      <c r="G33" s="42" t="inlineStr">
        <is>
          <t>日物料</t>
        </is>
      </c>
      <c r="H33" s="42" t="n"/>
      <c r="I33" s="42">
        <f>D33+H33</f>
        <v/>
      </c>
      <c r="J33" s="43" t="n"/>
      <c r="K33" s="0">
        <f>J33-I33</f>
        <v/>
      </c>
    </row>
    <row r="34">
      <c r="D34" s="0">
        <f>SUM(D3:D33)</f>
        <v/>
      </c>
      <c r="H34" s="0">
        <f>SUM(H3:H33)</f>
        <v/>
      </c>
      <c r="I34" s="0">
        <f>D34+H34</f>
        <v/>
      </c>
      <c r="J34" s="0">
        <f>SUM(J3:J33)</f>
        <v/>
      </c>
    </row>
    <row r="35">
      <c r="B35" s="1" t="n"/>
    </row>
    <row r="36">
      <c r="B36" s="1" t="n"/>
    </row>
  </sheetData>
  <mergeCells count="4">
    <mergeCell ref="E1:I1"/>
    <mergeCell ref="A1:D1"/>
    <mergeCell ref="B36:C36"/>
    <mergeCell ref="B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O273"/>
  <sheetViews>
    <sheetView zoomScale="90" zoomScaleNormal="90" workbookViewId="0">
      <pane xSplit="4" ySplit="3" topLeftCell="E187" activePane="bottomRight" state="frozen"/>
      <selection activeCell="A1" sqref="A1"/>
      <selection pane="topRight" activeCell="A1" sqref="A1"/>
      <selection pane="bottomLeft" activeCell="A1" sqref="A1"/>
      <selection pane="bottomRight" activeCell="F194" sqref="F194"/>
    </sheetView>
  </sheetViews>
  <sheetFormatPr baseColWidth="8" defaultColWidth="8.891666666666669" defaultRowHeight="13.5"/>
  <cols>
    <col width="4.775" customWidth="1" style="1" min="1" max="1"/>
    <col width="13.0583333333333" customWidth="1" style="2" min="2" max="2"/>
    <col width="6.33333333333333" customWidth="1" style="3" min="3" max="3"/>
    <col width="13.225" customWidth="1" style="4" min="4" max="4"/>
    <col width="13.4416666666667" customWidth="1" style="4" min="5" max="5"/>
    <col width="12.1083333333333" customWidth="1" style="4" min="6" max="6"/>
    <col width="10.1083333333333" customWidth="1" style="5" min="7" max="11"/>
    <col width="12.775" customWidth="1" style="5" min="12" max="12"/>
    <col width="10.1083333333333" customWidth="1" style="3" min="13" max="14"/>
    <col width="13.6083333333333" customWidth="1" style="3" min="15" max="15"/>
    <col width="8.891666666666669" customWidth="1" style="3" min="16" max="16384"/>
  </cols>
  <sheetData>
    <row r="1" ht="43" customHeight="1" s="3">
      <c r="A1" s="6" t="inlineStr">
        <is>
          <t>公司采购物料上月库存及本月采购（2026年7月）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8" t="n"/>
    </row>
    <row r="2" ht="43" customHeight="1" s="3">
      <c r="A2" s="6" t="inlineStr">
        <is>
          <t>序号</t>
        </is>
      </c>
      <c r="B2" s="9" t="inlineStr">
        <is>
          <t>物料代码</t>
        </is>
      </c>
      <c r="C2" s="6" t="inlineStr">
        <is>
          <t>类别</t>
        </is>
      </c>
      <c r="D2" s="10" t="inlineStr">
        <is>
          <t>品名</t>
        </is>
      </c>
      <c r="E2" s="10" t="inlineStr">
        <is>
          <t>规格</t>
        </is>
      </c>
      <c r="F2" s="10" t="inlineStr">
        <is>
          <t>单位</t>
        </is>
      </c>
      <c r="G2" s="11" t="inlineStr">
        <is>
          <t>2026年6月底库存</t>
        </is>
      </c>
      <c r="H2" s="7" t="n"/>
      <c r="I2" s="8" t="n"/>
      <c r="J2" s="6" t="inlineStr">
        <is>
          <t>2026年7月购入</t>
        </is>
      </c>
      <c r="K2" s="7" t="n"/>
      <c r="L2" s="8" t="n"/>
      <c r="M2" s="6" t="inlineStr">
        <is>
          <t>总计</t>
        </is>
      </c>
      <c r="N2" s="7" t="n"/>
      <c r="O2" s="8" t="n"/>
    </row>
    <row r="3">
      <c r="A3" s="12" t="n"/>
      <c r="B3" s="12" t="n"/>
      <c r="C3" s="12" t="n"/>
      <c r="D3" s="12" t="n"/>
      <c r="E3" s="12" t="n"/>
      <c r="F3" s="12" t="n"/>
      <c r="G3" s="11" t="inlineStr">
        <is>
          <t>数量</t>
        </is>
      </c>
      <c r="H3" s="6" t="inlineStr">
        <is>
          <t>单价</t>
        </is>
      </c>
      <c r="I3" s="6" t="inlineStr">
        <is>
          <t>金额</t>
        </is>
      </c>
      <c r="J3" s="6" t="inlineStr">
        <is>
          <t>数量</t>
        </is>
      </c>
      <c r="K3" s="6" t="inlineStr">
        <is>
          <t>单价</t>
        </is>
      </c>
      <c r="L3" s="6" t="inlineStr">
        <is>
          <t>金额</t>
        </is>
      </c>
      <c r="M3" s="13" t="inlineStr">
        <is>
          <t>数量</t>
        </is>
      </c>
      <c r="N3" s="13" t="inlineStr">
        <is>
          <t>单价</t>
        </is>
      </c>
      <c r="O3" s="13" t="inlineStr">
        <is>
          <t>金额</t>
        </is>
      </c>
    </row>
    <row r="4" ht="14.25" customHeight="1" s="3">
      <c r="A4" s="6" t="n">
        <v>1</v>
      </c>
      <c r="B4" s="14" t="inlineStr">
        <is>
          <t>010021</t>
        </is>
      </c>
      <c r="C4" s="15" t="inlineStr">
        <is>
          <t>食品类</t>
        </is>
      </c>
      <c r="D4" s="16" t="inlineStr">
        <is>
          <t>定制小酥肉</t>
        </is>
      </c>
      <c r="E4" s="16" t="inlineStr">
        <is>
          <t>1kg/10包/件</t>
        </is>
      </c>
      <c r="F4" s="16" t="inlineStr">
        <is>
          <t>件[1件=10包]</t>
        </is>
      </c>
      <c r="G4" s="6" t="n">
        <v>3</v>
      </c>
      <c r="H4" s="17" t="n">
        <v>428.925</v>
      </c>
      <c r="I4" s="6" t="n">
        <v>1286.775</v>
      </c>
      <c r="J4" s="18" t="n">
        <v>2</v>
      </c>
      <c r="K4" s="115" t="n">
        <v>428.925</v>
      </c>
      <c r="L4" s="116" t="n">
        <v>857.86</v>
      </c>
      <c r="M4" s="17">
        <f>G4+J4</f>
        <v/>
      </c>
      <c r="N4" s="17">
        <f>O4/M4</f>
        <v/>
      </c>
      <c r="O4" s="17">
        <f>I4+L4</f>
        <v/>
      </c>
    </row>
    <row r="5" ht="14.25" customHeight="1" s="3">
      <c r="A5" s="6" t="n">
        <v>2</v>
      </c>
      <c r="B5" s="109" t="inlineStr">
        <is>
          <t>010135</t>
        </is>
      </c>
      <c r="C5" s="15" t="inlineStr">
        <is>
          <t>食品类</t>
        </is>
      </c>
      <c r="D5" s="16" t="inlineStr">
        <is>
          <t>拉丝兰花干</t>
        </is>
      </c>
      <c r="E5" s="16" t="inlineStr">
        <is>
          <t>30条/包*12包/件</t>
        </is>
      </c>
      <c r="F5" s="16" t="inlineStr">
        <is>
          <t>件[1件=12包]</t>
        </is>
      </c>
      <c r="G5" s="6" t="n">
        <v>0</v>
      </c>
      <c r="H5" s="17" t="n">
        <v>214.2</v>
      </c>
      <c r="I5" s="6" t="n">
        <v>0</v>
      </c>
      <c r="J5" s="18" t="n">
        <v>0</v>
      </c>
      <c r="K5" s="115" t="n">
        <v>214.2</v>
      </c>
      <c r="L5" s="116" t="n">
        <v>0</v>
      </c>
      <c r="M5" s="17">
        <f>G5+J5</f>
        <v/>
      </c>
      <c r="N5" s="17">
        <f>O5/M5</f>
        <v/>
      </c>
      <c r="O5" s="17">
        <f>I5+L5</f>
        <v/>
      </c>
    </row>
    <row r="6" ht="14.25" customHeight="1" s="3">
      <c r="A6" s="6" t="n">
        <v>3</v>
      </c>
      <c r="B6" s="14" t="inlineStr">
        <is>
          <t>010148</t>
        </is>
      </c>
      <c r="C6" s="15" t="inlineStr">
        <is>
          <t>食品类</t>
        </is>
      </c>
      <c r="D6" s="16" t="inlineStr">
        <is>
          <t>麻辣牛肉</t>
        </is>
      </c>
      <c r="E6" s="16" t="inlineStr">
        <is>
          <t>1kg/包*20包/件</t>
        </is>
      </c>
      <c r="F6" s="16" t="inlineStr">
        <is>
          <t>件[1件=20包]</t>
        </is>
      </c>
      <c r="G6" s="6" t="n">
        <v>0.4</v>
      </c>
      <c r="H6" s="17" t="n">
        <v>1785</v>
      </c>
      <c r="I6" s="6" t="n">
        <v>714</v>
      </c>
      <c r="J6" s="17" t="n">
        <v>1</v>
      </c>
      <c r="K6" s="17" t="n">
        <v>1785</v>
      </c>
      <c r="L6" s="17" t="n">
        <v>1785</v>
      </c>
      <c r="M6" s="17">
        <f>G6+J6</f>
        <v/>
      </c>
      <c r="N6" s="17">
        <f>O6/M6</f>
        <v/>
      </c>
      <c r="O6" s="17">
        <f>I6+L6</f>
        <v/>
      </c>
    </row>
    <row r="7" ht="14.25" customHeight="1" s="3">
      <c r="A7" s="6" t="n">
        <v>4</v>
      </c>
      <c r="B7" s="14" t="inlineStr">
        <is>
          <t>010153</t>
        </is>
      </c>
      <c r="C7" s="15" t="inlineStr">
        <is>
          <t>食品类</t>
        </is>
      </c>
      <c r="D7" s="16" t="inlineStr">
        <is>
          <t>烈火牛肉串</t>
        </is>
      </c>
      <c r="E7" s="16" t="inlineStr">
        <is>
          <t>100串/包*10包/件</t>
        </is>
      </c>
      <c r="F7" s="16" t="inlineStr">
        <is>
          <t>件[1件=10包]</t>
        </is>
      </c>
      <c r="G7" s="6" t="n">
        <v>3.7</v>
      </c>
      <c r="H7" s="17" t="n">
        <v>840</v>
      </c>
      <c r="I7" s="6" t="n">
        <v>3108</v>
      </c>
      <c r="J7" s="17" t="n">
        <v>3</v>
      </c>
      <c r="K7" s="17" t="n">
        <v>840</v>
      </c>
      <c r="L7" s="17" t="n">
        <v>2520</v>
      </c>
      <c r="M7" s="17">
        <f>G7+J7</f>
        <v/>
      </c>
      <c r="N7" s="17">
        <f>O7/M7</f>
        <v/>
      </c>
      <c r="O7" s="17">
        <f>I7+L7</f>
        <v/>
      </c>
    </row>
    <row r="8" ht="14.25" customHeight="1" s="3">
      <c r="A8" s="6" t="n">
        <v>5</v>
      </c>
      <c r="B8" s="14" t="inlineStr">
        <is>
          <t>010156</t>
        </is>
      </c>
      <c r="C8" s="15" t="inlineStr">
        <is>
          <t>食品类</t>
        </is>
      </c>
      <c r="D8" s="16" t="inlineStr">
        <is>
          <t>生牛肉片（牛脖）</t>
        </is>
      </c>
      <c r="E8" s="16" t="inlineStr">
        <is>
          <t>1000g/包*10包/件</t>
        </is>
      </c>
      <c r="F8" s="16" t="inlineStr">
        <is>
          <t>件[1件=10包]</t>
        </is>
      </c>
      <c r="G8" s="6" t="n">
        <v>0</v>
      </c>
      <c r="H8" s="17" t="n">
        <v>766.5</v>
      </c>
      <c r="I8" s="6" t="n">
        <v>0</v>
      </c>
      <c r="J8" s="17" t="n">
        <v>0</v>
      </c>
      <c r="K8" s="17" t="n">
        <v>766.5</v>
      </c>
      <c r="L8" s="17" t="n">
        <v>0</v>
      </c>
      <c r="M8" s="17">
        <f>G8+J8</f>
        <v/>
      </c>
      <c r="N8" s="17">
        <f>O8/M8</f>
        <v/>
      </c>
      <c r="O8" s="17">
        <f>I8+L8</f>
        <v/>
      </c>
    </row>
    <row r="9" ht="14.25" customHeight="1" s="3">
      <c r="A9" s="6" t="n">
        <v>6</v>
      </c>
      <c r="B9" s="14" t="inlineStr">
        <is>
          <t>010158</t>
        </is>
      </c>
      <c r="C9" s="15" t="inlineStr">
        <is>
          <t>食品类</t>
        </is>
      </c>
      <c r="D9" s="16" t="inlineStr">
        <is>
          <t>黑胡椒牛肉馅饼</t>
        </is>
      </c>
      <c r="E9" s="16" t="inlineStr">
        <is>
          <t>10个/包*6包/件</t>
        </is>
      </c>
      <c r="F9" s="16" t="inlineStr">
        <is>
          <t>件[1件=6包]</t>
        </is>
      </c>
      <c r="G9" s="6" t="n">
        <v>5.83333333333333</v>
      </c>
      <c r="H9" s="17" t="n">
        <v>141.75</v>
      </c>
      <c r="I9" s="6" t="n">
        <v>826.875</v>
      </c>
      <c r="J9" s="17" t="n">
        <v>12</v>
      </c>
      <c r="K9" s="17" t="n">
        <v>141.75</v>
      </c>
      <c r="L9" s="17" t="n">
        <v>1701</v>
      </c>
      <c r="M9" s="17">
        <f>G9+J9</f>
        <v/>
      </c>
      <c r="N9" s="17">
        <f>O9/M9</f>
        <v/>
      </c>
      <c r="O9" s="17">
        <f>I9+L9</f>
        <v/>
      </c>
    </row>
    <row r="10" ht="14.25" customHeight="1" s="3">
      <c r="A10" s="6" t="n">
        <v>7</v>
      </c>
      <c r="B10" s="14" t="inlineStr">
        <is>
          <t>010182</t>
        </is>
      </c>
      <c r="C10" s="15" t="inlineStr">
        <is>
          <t>食品类</t>
        </is>
      </c>
      <c r="D10" s="16" t="inlineStr">
        <is>
          <t>鲜切牛杂</t>
        </is>
      </c>
      <c r="E10" s="16" t="inlineStr">
        <is>
          <t>1kg/包/14包/件</t>
        </is>
      </c>
      <c r="F10" s="16" t="inlineStr">
        <is>
          <t>件[1件=14包]</t>
        </is>
      </c>
      <c r="G10" s="6" t="n">
        <v>1.71428571428571</v>
      </c>
      <c r="H10" s="17" t="n">
        <v>955.5</v>
      </c>
      <c r="I10" s="6" t="n">
        <v>1638</v>
      </c>
      <c r="J10" s="17" t="n">
        <v>1</v>
      </c>
      <c r="K10" s="17" t="n">
        <v>955.5</v>
      </c>
      <c r="L10" s="17" t="n">
        <v>955.5</v>
      </c>
      <c r="M10" s="17">
        <f>G10+J10</f>
        <v/>
      </c>
      <c r="N10" s="17">
        <f>O10/M10</f>
        <v/>
      </c>
      <c r="O10" s="17">
        <f>I10+L10</f>
        <v/>
      </c>
    </row>
    <row r="11" ht="14.25" customHeight="1" s="3">
      <c r="A11" s="6" t="n">
        <v>8</v>
      </c>
      <c r="B11" s="14" t="inlineStr">
        <is>
          <t>010186</t>
        </is>
      </c>
      <c r="C11" s="15" t="inlineStr">
        <is>
          <t>食品类</t>
        </is>
      </c>
      <c r="D11" s="16" t="inlineStr">
        <is>
          <t>定制肥牛片</t>
        </is>
      </c>
      <c r="E11" s="16" t="inlineStr">
        <is>
          <t>100g/包*100包/件</t>
        </is>
      </c>
      <c r="F11" s="16" t="inlineStr">
        <is>
          <t>件[1件=100包]</t>
        </is>
      </c>
      <c r="G11" s="6" t="n">
        <v>2.5</v>
      </c>
      <c r="H11" s="17" t="n">
        <v>819</v>
      </c>
      <c r="I11" s="6" t="n">
        <v>2047.5</v>
      </c>
      <c r="J11" s="17" t="n">
        <v>2</v>
      </c>
      <c r="K11" s="17" t="n">
        <v>819</v>
      </c>
      <c r="L11" s="17" t="n">
        <v>1638</v>
      </c>
      <c r="M11" s="17">
        <f>G11+J11</f>
        <v/>
      </c>
      <c r="N11" s="17">
        <f>O11/M11</f>
        <v/>
      </c>
      <c r="O11" s="17">
        <f>I11+L11</f>
        <v/>
      </c>
    </row>
    <row r="12" ht="14.25" customHeight="1" s="3">
      <c r="A12" s="6" t="n">
        <v>9</v>
      </c>
      <c r="B12" s="14" t="inlineStr">
        <is>
          <t>010206</t>
        </is>
      </c>
      <c r="C12" s="15" t="inlineStr">
        <is>
          <t>食品类</t>
        </is>
      </c>
      <c r="D12" s="16" t="inlineStr">
        <is>
          <t>豆腐丸子（大）</t>
        </is>
      </c>
      <c r="E12" s="16" t="inlineStr">
        <is>
          <t>250G/包*35包/件</t>
        </is>
      </c>
      <c r="F12" s="16" t="inlineStr">
        <is>
          <t>件[1件=35包]</t>
        </is>
      </c>
      <c r="G12" s="6" t="n">
        <v>0</v>
      </c>
      <c r="H12" s="17" t="n">
        <v>220.5</v>
      </c>
      <c r="I12" s="6" t="n">
        <v>0</v>
      </c>
      <c r="J12" s="17" t="n">
        <v>0</v>
      </c>
      <c r="K12" s="17" t="n">
        <v>220.5</v>
      </c>
      <c r="L12" s="17" t="n">
        <v>0</v>
      </c>
      <c r="M12" s="17">
        <f>G12+J12</f>
        <v/>
      </c>
      <c r="N12" s="17">
        <f>O12/M12</f>
        <v/>
      </c>
      <c r="O12" s="17">
        <f>I12+L12</f>
        <v/>
      </c>
    </row>
    <row r="13" ht="14.25" customHeight="1" s="3">
      <c r="A13" s="6" t="n">
        <v>10</v>
      </c>
      <c r="B13" s="14" t="inlineStr">
        <is>
          <t>010207</t>
        </is>
      </c>
      <c r="C13" s="15" t="inlineStr">
        <is>
          <t>食品类</t>
        </is>
      </c>
      <c r="D13" s="16" t="inlineStr">
        <is>
          <t>狼牙土豆</t>
        </is>
      </c>
      <c r="E13" s="16" t="inlineStr">
        <is>
          <t>1kg/包*10包/件</t>
        </is>
      </c>
      <c r="F13" s="16" t="inlineStr">
        <is>
          <t>件[1件=10包]</t>
        </is>
      </c>
      <c r="G13" s="6" t="n">
        <v>3.5</v>
      </c>
      <c r="H13" s="17" t="n">
        <v>168</v>
      </c>
      <c r="I13" s="6" t="n">
        <v>588</v>
      </c>
      <c r="J13" s="17" t="n">
        <v>6</v>
      </c>
      <c r="K13" s="17" t="n">
        <v>168</v>
      </c>
      <c r="L13" s="17" t="n">
        <v>1008</v>
      </c>
      <c r="M13" s="17">
        <f>G13+J13</f>
        <v/>
      </c>
      <c r="N13" s="17">
        <f>O13/M13</f>
        <v/>
      </c>
      <c r="O13" s="17">
        <f>I13+L13</f>
        <v/>
      </c>
    </row>
    <row r="14" ht="14.25" customHeight="1" s="3">
      <c r="A14" s="6" t="n">
        <v>11</v>
      </c>
      <c r="B14" s="14" t="inlineStr">
        <is>
          <t>010219</t>
        </is>
      </c>
      <c r="C14" s="15" t="inlineStr">
        <is>
          <t>食品类</t>
        </is>
      </c>
      <c r="D14" s="16" t="inlineStr">
        <is>
          <t>牛筋丸</t>
        </is>
      </c>
      <c r="E14" s="16" t="inlineStr">
        <is>
          <t>500g/包*20包/件</t>
        </is>
      </c>
      <c r="F14" s="16" t="inlineStr">
        <is>
          <t>件[1件=20包]</t>
        </is>
      </c>
      <c r="G14" s="6" t="n">
        <v>1.05</v>
      </c>
      <c r="H14" s="17" t="n">
        <v>630</v>
      </c>
      <c r="I14" s="6" t="n">
        <v>661.5</v>
      </c>
      <c r="J14" s="17" t="n">
        <v>0</v>
      </c>
      <c r="K14" s="17" t="n">
        <v>630</v>
      </c>
      <c r="L14" s="17" t="n">
        <v>0</v>
      </c>
      <c r="M14" s="17">
        <f>G14+J14</f>
        <v/>
      </c>
      <c r="N14" s="17">
        <f>O14/M14</f>
        <v/>
      </c>
      <c r="O14" s="17">
        <f>I14+L14</f>
        <v/>
      </c>
    </row>
    <row r="15" ht="14.25" customHeight="1" s="3">
      <c r="A15" s="6" t="n">
        <v>12</v>
      </c>
      <c r="B15" s="14" t="inlineStr">
        <is>
          <t>010220</t>
        </is>
      </c>
      <c r="C15" s="15" t="inlineStr">
        <is>
          <t>食品类</t>
        </is>
      </c>
      <c r="D15" s="16" t="inlineStr">
        <is>
          <t>毛肚</t>
        </is>
      </c>
      <c r="E15" s="16" t="inlineStr">
        <is>
          <t>500g/包*30包/件</t>
        </is>
      </c>
      <c r="F15" s="16" t="inlineStr">
        <is>
          <t>件[1件=30包]</t>
        </is>
      </c>
      <c r="G15" s="6" t="n">
        <v>0</v>
      </c>
      <c r="H15" s="17" t="n">
        <v>0</v>
      </c>
      <c r="I15" s="6" t="n">
        <v>0</v>
      </c>
      <c r="J15" s="17" t="n">
        <v>0</v>
      </c>
      <c r="K15" s="17" t="n">
        <v>0</v>
      </c>
      <c r="L15" s="17" t="n">
        <v>0</v>
      </c>
      <c r="M15" s="17">
        <f>G15+J15</f>
        <v/>
      </c>
      <c r="N15" s="17">
        <f>O15/M15</f>
        <v/>
      </c>
      <c r="O15" s="17">
        <f>I15+L15</f>
        <v/>
      </c>
    </row>
    <row r="16" ht="14.25" customHeight="1" s="3">
      <c r="A16" s="6" t="n">
        <v>13</v>
      </c>
      <c r="B16" s="14" t="inlineStr">
        <is>
          <t>010221</t>
        </is>
      </c>
      <c r="C16" s="15" t="inlineStr">
        <is>
          <t>食品类</t>
        </is>
      </c>
      <c r="D16" s="16" t="inlineStr">
        <is>
          <t>虎皮豆干</t>
        </is>
      </c>
      <c r="E16" s="16" t="inlineStr">
        <is>
          <t>1.25kg/包*6包/件</t>
        </is>
      </c>
      <c r="F16" s="16" t="inlineStr">
        <is>
          <t>件[1件=6包]</t>
        </is>
      </c>
      <c r="G16" s="6" t="n">
        <v>0</v>
      </c>
      <c r="H16" s="17" t="n">
        <v>0</v>
      </c>
      <c r="I16" s="6" t="n">
        <v>0</v>
      </c>
      <c r="J16" s="17" t="n">
        <v>0</v>
      </c>
      <c r="K16" s="17" t="n">
        <v>0</v>
      </c>
      <c r="L16" s="17" t="n">
        <v>0</v>
      </c>
      <c r="M16" s="17">
        <f>G16+J16</f>
        <v/>
      </c>
      <c r="N16" s="17">
        <f>O16/M16</f>
        <v/>
      </c>
      <c r="O16" s="17">
        <f>I16+L16</f>
        <v/>
      </c>
    </row>
    <row r="17" ht="14.25" customHeight="1" s="3">
      <c r="A17" s="6" t="n">
        <v>14</v>
      </c>
      <c r="B17" s="14" t="inlineStr">
        <is>
          <t>010223</t>
        </is>
      </c>
      <c r="C17" s="15" t="inlineStr">
        <is>
          <t>食品类</t>
        </is>
      </c>
      <c r="D17" s="16" t="inlineStr">
        <is>
          <t>糯米水晶木薯</t>
        </is>
      </c>
      <c r="E17" s="16" t="inlineStr">
        <is>
          <t>1.5kg/包*10包/件</t>
        </is>
      </c>
      <c r="F17" s="16" t="inlineStr">
        <is>
          <t>件[1件=10包]</t>
        </is>
      </c>
      <c r="G17" s="6" t="n">
        <v>1.3</v>
      </c>
      <c r="H17" s="17" t="n">
        <v>395</v>
      </c>
      <c r="I17" s="6" t="n">
        <v>513.5</v>
      </c>
      <c r="J17" s="17" t="n">
        <v>3</v>
      </c>
      <c r="K17" s="17" t="n">
        <v>395</v>
      </c>
      <c r="L17" s="17" t="n">
        <v>1185</v>
      </c>
      <c r="M17" s="17">
        <f>G17+J17</f>
        <v/>
      </c>
      <c r="N17" s="17">
        <f>O17/M17</f>
        <v/>
      </c>
      <c r="O17" s="17">
        <f>I17+L17</f>
        <v/>
      </c>
    </row>
    <row r="18" ht="14.25" customHeight="1" s="3">
      <c r="A18" s="6" t="n">
        <v>15</v>
      </c>
      <c r="B18" s="14" t="inlineStr">
        <is>
          <t>010224</t>
        </is>
      </c>
      <c r="C18" s="15" t="inlineStr">
        <is>
          <t>食品类</t>
        </is>
      </c>
      <c r="D18" s="16" t="inlineStr">
        <is>
          <t>迷你糍粑</t>
        </is>
      </c>
      <c r="E18" s="16" t="inlineStr">
        <is>
          <t>1kg*10包/件</t>
        </is>
      </c>
      <c r="F18" s="16" t="inlineStr">
        <is>
          <t>件[1件=10包]</t>
        </is>
      </c>
      <c r="G18" s="6" t="n">
        <v>0</v>
      </c>
      <c r="H18" s="17" t="n">
        <v>200</v>
      </c>
      <c r="I18" s="6" t="n">
        <v>0</v>
      </c>
      <c r="J18" s="17" t="n">
        <v>2</v>
      </c>
      <c r="K18" s="17" t="n">
        <v>200</v>
      </c>
      <c r="L18" s="17" t="n">
        <v>400</v>
      </c>
      <c r="M18" s="17">
        <f>G18+J18</f>
        <v/>
      </c>
      <c r="N18" s="17">
        <f>O18/M18</f>
        <v/>
      </c>
      <c r="O18" s="17">
        <f>I18+L18</f>
        <v/>
      </c>
    </row>
    <row r="19" ht="29" customHeight="1" s="3">
      <c r="A19" s="6" t="n">
        <v>16</v>
      </c>
      <c r="B19" s="109" t="inlineStr">
        <is>
          <t>010225</t>
        </is>
      </c>
      <c r="C19" s="15" t="inlineStr">
        <is>
          <t>食品类</t>
        </is>
      </c>
      <c r="D19" s="16" t="inlineStr">
        <is>
          <t>原切肥肠</t>
        </is>
      </c>
      <c r="E19" s="16" t="inlineStr">
        <is>
          <t>1kg*10包/件</t>
        </is>
      </c>
      <c r="F19" s="16" t="inlineStr">
        <is>
          <t>件[1件=10包]</t>
        </is>
      </c>
      <c r="G19" s="6" t="n">
        <v>0</v>
      </c>
      <c r="H19" s="17" t="n">
        <v>830</v>
      </c>
      <c r="I19" s="6" t="n">
        <v>0</v>
      </c>
      <c r="J19" s="17" t="n">
        <v>0</v>
      </c>
      <c r="K19" s="17" t="n">
        <v>830</v>
      </c>
      <c r="L19" s="17" t="n">
        <v>0</v>
      </c>
      <c r="M19" s="17">
        <f>G19+J19</f>
        <v/>
      </c>
      <c r="N19" s="17">
        <f>O19/M19</f>
        <v/>
      </c>
      <c r="O19" s="17">
        <f>I19+L19</f>
        <v/>
      </c>
    </row>
    <row r="20" ht="28.5" customHeight="1" s="3">
      <c r="A20" s="6" t="n">
        <v>17</v>
      </c>
      <c r="B20" s="14" t="inlineStr">
        <is>
          <t>010008</t>
        </is>
      </c>
      <c r="C20" s="15" t="inlineStr">
        <is>
          <t>食品类</t>
        </is>
      </c>
      <c r="D20" s="16" t="inlineStr">
        <is>
          <t>二荆条泡椒（粉小主）</t>
        </is>
      </c>
      <c r="E20" s="16" t="inlineStr">
        <is>
          <t>500g/包*20包/件</t>
        </is>
      </c>
      <c r="F20" s="16" t="inlineStr">
        <is>
          <t>件[1件=20包]</t>
        </is>
      </c>
      <c r="G20" s="6" t="n">
        <v>2</v>
      </c>
      <c r="H20" s="17" t="n">
        <v>144.9</v>
      </c>
      <c r="I20" s="6" t="n">
        <v>289.8</v>
      </c>
      <c r="J20" s="17" t="n">
        <v>0</v>
      </c>
      <c r="K20" s="17" t="n">
        <v>144.9</v>
      </c>
      <c r="L20" s="17" t="n">
        <v>0</v>
      </c>
      <c r="M20" s="17">
        <f>G20+J20</f>
        <v/>
      </c>
      <c r="N20" s="17">
        <f>O20/M20</f>
        <v/>
      </c>
      <c r="O20" s="17">
        <f>I20+L20</f>
        <v/>
      </c>
    </row>
    <row r="21" ht="14.25" customHeight="1" s="3">
      <c r="A21" s="6" t="n">
        <v>18</v>
      </c>
      <c r="B21" s="14" t="inlineStr">
        <is>
          <t>010027</t>
        </is>
      </c>
      <c r="C21" s="15" t="inlineStr">
        <is>
          <t>食品类</t>
        </is>
      </c>
      <c r="D21" s="16" t="inlineStr">
        <is>
          <t>番茄酱</t>
        </is>
      </c>
      <c r="E21" s="16" t="inlineStr">
        <is>
          <t>1kg/包*16包/件</t>
        </is>
      </c>
      <c r="F21" s="16" t="inlineStr">
        <is>
          <t>件[1件=16包]</t>
        </is>
      </c>
      <c r="G21" s="6" t="n">
        <v>1.3125</v>
      </c>
      <c r="H21" s="17" t="n">
        <v>473.09</v>
      </c>
      <c r="I21" s="6" t="n">
        <v>620.930625</v>
      </c>
      <c r="J21" s="17" t="n">
        <v>1.625</v>
      </c>
      <c r="K21" s="17" t="n">
        <v>473.09</v>
      </c>
      <c r="L21" s="17" t="n">
        <v>768.77</v>
      </c>
      <c r="M21" s="17">
        <f>G21+J21</f>
        <v/>
      </c>
      <c r="N21" s="17">
        <f>O21/M21</f>
        <v/>
      </c>
      <c r="O21" s="17">
        <f>I21+L21</f>
        <v/>
      </c>
    </row>
    <row r="22" ht="28.5" customHeight="1" s="3">
      <c r="A22" s="6" t="n">
        <v>19</v>
      </c>
      <c r="B22" s="14" t="inlineStr">
        <is>
          <t>010043</t>
        </is>
      </c>
      <c r="C22" s="15" t="inlineStr">
        <is>
          <t>食品类</t>
        </is>
      </c>
      <c r="D22" s="16" t="inlineStr">
        <is>
          <t>湘下佬干米粉（细1.1）</t>
        </is>
      </c>
      <c r="E22" s="16" t="inlineStr">
        <is>
          <t>25kg/件</t>
        </is>
      </c>
      <c r="F22" s="16" t="inlineStr">
        <is>
          <t>件[1件=5包]</t>
        </is>
      </c>
      <c r="G22" s="6" t="n">
        <v>27</v>
      </c>
      <c r="H22" s="17" t="n">
        <v>194.25</v>
      </c>
      <c r="I22" s="6" t="n">
        <v>5244.75</v>
      </c>
      <c r="J22" s="17" t="n">
        <v>40</v>
      </c>
      <c r="K22" s="17" t="n">
        <v>194.25</v>
      </c>
      <c r="L22" s="17" t="n">
        <v>7770</v>
      </c>
      <c r="M22" s="17">
        <f>G22+J22</f>
        <v/>
      </c>
      <c r="N22" s="17">
        <f>O22/M22</f>
        <v/>
      </c>
      <c r="O22" s="17">
        <f>I22+L22</f>
        <v/>
      </c>
    </row>
    <row r="23" ht="14.25" customHeight="1" s="3">
      <c r="A23" s="6" t="n">
        <v>20</v>
      </c>
      <c r="B23" s="14" t="inlineStr">
        <is>
          <t>010058</t>
        </is>
      </c>
      <c r="C23" s="15" t="inlineStr">
        <is>
          <t>食品类</t>
        </is>
      </c>
      <c r="D23" s="16" t="inlineStr">
        <is>
          <t>博多黑糖</t>
        </is>
      </c>
      <c r="E23" s="16" t="inlineStr">
        <is>
          <t>1.9L/瓶*8瓶/件</t>
        </is>
      </c>
      <c r="F23" s="16" t="inlineStr">
        <is>
          <t>瓶</t>
        </is>
      </c>
      <c r="G23" s="6" t="n">
        <v>2</v>
      </c>
      <c r="H23" s="17" t="n">
        <v>56.7</v>
      </c>
      <c r="I23" s="6" t="n">
        <v>113.4</v>
      </c>
      <c r="J23" s="17" t="n">
        <v>0</v>
      </c>
      <c r="K23" s="17" t="n">
        <v>56.7</v>
      </c>
      <c r="L23" s="17" t="n">
        <v>0</v>
      </c>
      <c r="M23" s="17">
        <f>G23+J23</f>
        <v/>
      </c>
      <c r="N23" s="17">
        <f>O23/M23</f>
        <v/>
      </c>
      <c r="O23" s="17">
        <f>I23+L23</f>
        <v/>
      </c>
    </row>
    <row r="24" ht="14.25" customHeight="1" s="3">
      <c r="A24" s="6" t="n">
        <v>21</v>
      </c>
      <c r="B24" s="14" t="inlineStr">
        <is>
          <t>010071</t>
        </is>
      </c>
      <c r="C24" s="15" t="inlineStr">
        <is>
          <t>食品类</t>
        </is>
      </c>
      <c r="D24" s="16" t="inlineStr">
        <is>
          <t>湘下佬白凉粉</t>
        </is>
      </c>
      <c r="E24" s="16" t="inlineStr">
        <is>
          <t>1kg*20包/件</t>
        </is>
      </c>
      <c r="F24" s="16" t="inlineStr">
        <is>
          <t>包</t>
        </is>
      </c>
      <c r="G24" s="6" t="n">
        <v>4</v>
      </c>
      <c r="H24" s="17" t="n">
        <v>27.846</v>
      </c>
      <c r="I24" s="6" t="n">
        <v>111.384</v>
      </c>
      <c r="J24" s="17" t="n">
        <v>2</v>
      </c>
      <c r="K24" s="17" t="n">
        <v>27.846</v>
      </c>
      <c r="L24" s="17" t="n">
        <v>55.69</v>
      </c>
      <c r="M24" s="17">
        <f>G24+J24</f>
        <v/>
      </c>
      <c r="N24" s="17">
        <f>O24/M24</f>
        <v/>
      </c>
      <c r="O24" s="17">
        <f>I24+L24</f>
        <v/>
      </c>
    </row>
    <row r="25" ht="14.25" customHeight="1" s="3">
      <c r="A25" s="6" t="n">
        <v>22</v>
      </c>
      <c r="B25" s="14" t="inlineStr">
        <is>
          <t>010085</t>
        </is>
      </c>
      <c r="C25" s="15" t="inlineStr">
        <is>
          <t>食品类</t>
        </is>
      </c>
      <c r="D25" s="16" t="inlineStr">
        <is>
          <t>风味肉酱调味料</t>
        </is>
      </c>
      <c r="E25" s="16" t="inlineStr">
        <is>
          <t>1kg*16包/件</t>
        </is>
      </c>
      <c r="F25" s="16" t="inlineStr">
        <is>
          <t>件[1件=16包]</t>
        </is>
      </c>
      <c r="G25" s="6" t="n">
        <v>0.625</v>
      </c>
      <c r="H25" s="17" t="n">
        <v>646.8</v>
      </c>
      <c r="I25" s="6" t="n">
        <v>404.25</v>
      </c>
      <c r="J25" s="17" t="n">
        <v>6.625</v>
      </c>
      <c r="K25" s="17" t="n">
        <v>646.8</v>
      </c>
      <c r="L25" s="17" t="n">
        <v>1253.18</v>
      </c>
      <c r="M25" s="17">
        <f>G25+J25</f>
        <v/>
      </c>
      <c r="N25" s="17">
        <f>O25/M25</f>
        <v/>
      </c>
      <c r="O25" s="17">
        <f>I25+L25</f>
        <v/>
      </c>
    </row>
    <row r="26" ht="14.25" customHeight="1" s="3">
      <c r="A26" s="6" t="n">
        <v>23</v>
      </c>
      <c r="B26" s="14" t="inlineStr">
        <is>
          <t>010098</t>
        </is>
      </c>
      <c r="C26" s="15" t="inlineStr">
        <is>
          <t>食品类</t>
        </is>
      </c>
      <c r="D26" s="16" t="inlineStr">
        <is>
          <t>猪血</t>
        </is>
      </c>
      <c r="E26" s="16" t="inlineStr">
        <is>
          <t>300g/盒*20盒/件</t>
        </is>
      </c>
      <c r="F26" s="16" t="inlineStr">
        <is>
          <t>件[1件=20盒]</t>
        </is>
      </c>
      <c r="G26" s="6" t="n">
        <v>0</v>
      </c>
      <c r="H26" s="17" t="n">
        <v>0</v>
      </c>
      <c r="I26" s="6" t="n">
        <v>0</v>
      </c>
      <c r="J26" s="17" t="n">
        <v>0</v>
      </c>
      <c r="K26" s="17" t="n">
        <v>0</v>
      </c>
      <c r="L26" s="17" t="n">
        <v>0</v>
      </c>
      <c r="M26" s="17">
        <f>G26+J26</f>
        <v/>
      </c>
      <c r="N26" s="17">
        <f>O26/M26</f>
        <v/>
      </c>
      <c r="O26" s="17">
        <f>I26+L26</f>
        <v/>
      </c>
    </row>
    <row r="27" ht="14.25" customHeight="1" s="3">
      <c r="A27" s="6" t="n">
        <v>24</v>
      </c>
      <c r="B27" s="14" t="inlineStr">
        <is>
          <t>010136</t>
        </is>
      </c>
      <c r="C27" s="15" t="inlineStr">
        <is>
          <t>食品类</t>
        </is>
      </c>
      <c r="D27" s="16" t="inlineStr">
        <is>
          <t>拌面酱油</t>
        </is>
      </c>
      <c r="E27" s="16" t="inlineStr">
        <is>
          <t>2kg/瓶*6瓶/件</t>
        </is>
      </c>
      <c r="F27" s="16" t="inlineStr">
        <is>
          <t>瓶</t>
        </is>
      </c>
      <c r="G27" s="6" t="n">
        <v>3</v>
      </c>
      <c r="H27" s="17" t="n">
        <v>80.53</v>
      </c>
      <c r="I27" s="6" t="n">
        <v>241.59</v>
      </c>
      <c r="J27" s="17" t="n">
        <v>2</v>
      </c>
      <c r="K27" s="17" t="n">
        <v>80.53</v>
      </c>
      <c r="L27" s="17" t="n">
        <v>161.06</v>
      </c>
      <c r="M27" s="17">
        <f>G27+J27</f>
        <v/>
      </c>
      <c r="N27" s="17">
        <f>O27/M27</f>
        <v/>
      </c>
      <c r="O27" s="17">
        <f>I27+L27</f>
        <v/>
      </c>
    </row>
    <row r="28" ht="14.25" customHeight="1" s="3">
      <c r="A28" s="6" t="n">
        <v>25</v>
      </c>
      <c r="B28" s="14" t="inlineStr">
        <is>
          <t>010146</t>
        </is>
      </c>
      <c r="C28" s="15" t="inlineStr">
        <is>
          <t>食品类</t>
        </is>
      </c>
      <c r="D28" s="16" t="inlineStr">
        <is>
          <t>聊撇小罐红豆</t>
        </is>
      </c>
      <c r="E28" s="16" t="inlineStr">
        <is>
          <t>500g*24罐/件</t>
        </is>
      </c>
      <c r="F28" s="16" t="inlineStr">
        <is>
          <t>瓶</t>
        </is>
      </c>
      <c r="G28" s="6" t="n">
        <v>5</v>
      </c>
      <c r="H28" s="17" t="n">
        <v>8.19</v>
      </c>
      <c r="I28" s="6" t="n">
        <v>40.95</v>
      </c>
      <c r="J28" s="17" t="n">
        <v>10</v>
      </c>
      <c r="K28" s="17" t="n">
        <v>8.19</v>
      </c>
      <c r="L28" s="17" t="n">
        <v>81.90000000000001</v>
      </c>
      <c r="M28" s="17">
        <f>G28+J28</f>
        <v/>
      </c>
      <c r="N28" s="17">
        <f>O28/M28</f>
        <v/>
      </c>
      <c r="O28" s="17">
        <f>I28+L28</f>
        <v/>
      </c>
    </row>
    <row r="29" ht="28.5" customHeight="1" s="3">
      <c r="A29" s="6" t="n">
        <v>26</v>
      </c>
      <c r="B29" s="14" t="inlineStr">
        <is>
          <t>010150</t>
        </is>
      </c>
      <c r="C29" s="15" t="inlineStr">
        <is>
          <t>食品类</t>
        </is>
      </c>
      <c r="D29" s="16" t="inlineStr">
        <is>
          <t>粉小主1号调料（原红酸汤）</t>
        </is>
      </c>
      <c r="E29" s="16" t="inlineStr">
        <is>
          <t>500g/包*24包/件</t>
        </is>
      </c>
      <c r="F29" s="16" t="inlineStr">
        <is>
          <t>件[1件=24包]</t>
        </is>
      </c>
      <c r="G29" s="6" t="n">
        <v>9</v>
      </c>
      <c r="H29" s="17" t="n">
        <v>378</v>
      </c>
      <c r="I29" s="6" t="n">
        <v>3402</v>
      </c>
      <c r="J29" s="17" t="n">
        <v>14</v>
      </c>
      <c r="K29" s="17" t="n">
        <v>378</v>
      </c>
      <c r="L29" s="17" t="n">
        <v>5292</v>
      </c>
      <c r="M29" s="17">
        <f>G29+J29</f>
        <v/>
      </c>
      <c r="N29" s="17">
        <f>O29/M29</f>
        <v/>
      </c>
      <c r="O29" s="17">
        <f>I29+L29</f>
        <v/>
      </c>
    </row>
    <row r="30" ht="28.5" customHeight="1" s="3">
      <c r="A30" s="6" t="n">
        <v>27</v>
      </c>
      <c r="B30" s="14" t="inlineStr">
        <is>
          <t>010151</t>
        </is>
      </c>
      <c r="C30" s="15" t="inlineStr">
        <is>
          <t>食品类</t>
        </is>
      </c>
      <c r="D30" s="16" t="inlineStr">
        <is>
          <t>粉小主2号调味料（酸辣豆汤）</t>
        </is>
      </c>
      <c r="E30" s="16" t="inlineStr">
        <is>
          <t>500g/包*24包/件</t>
        </is>
      </c>
      <c r="F30" s="16" t="inlineStr">
        <is>
          <t>件[1件=24包]</t>
        </is>
      </c>
      <c r="G30" s="6" t="n">
        <v>5</v>
      </c>
      <c r="H30" s="17" t="n">
        <v>352.8</v>
      </c>
      <c r="I30" s="6" t="n">
        <v>1764</v>
      </c>
      <c r="J30" s="17" t="n">
        <v>6</v>
      </c>
      <c r="K30" s="17" t="n">
        <v>352.8</v>
      </c>
      <c r="L30" s="17" t="n">
        <v>2116.8</v>
      </c>
      <c r="M30" s="17">
        <f>G30+J30</f>
        <v/>
      </c>
      <c r="N30" s="17">
        <f>O30/M30</f>
        <v/>
      </c>
      <c r="O30" s="17">
        <f>I30+L30</f>
        <v/>
      </c>
    </row>
    <row r="31" ht="14.25" customHeight="1" s="3">
      <c r="A31" s="6" t="n">
        <v>28</v>
      </c>
      <c r="B31" s="14" t="inlineStr">
        <is>
          <t>010154</t>
        </is>
      </c>
      <c r="C31" s="15" t="inlineStr">
        <is>
          <t>食品类</t>
        </is>
      </c>
      <c r="D31" s="16" t="inlineStr">
        <is>
          <t>孜然粒</t>
        </is>
      </c>
      <c r="E31" s="16" t="inlineStr">
        <is>
          <t>500g/包*20包/件</t>
        </is>
      </c>
      <c r="F31" s="16" t="inlineStr">
        <is>
          <t>包</t>
        </is>
      </c>
      <c r="G31" s="6" t="n">
        <v>0.5</v>
      </c>
      <c r="H31" s="17" t="n">
        <v>29.4</v>
      </c>
      <c r="I31" s="6" t="n">
        <v>14.7</v>
      </c>
      <c r="J31" s="17" t="n">
        <v>0</v>
      </c>
      <c r="K31" s="17" t="n">
        <v>29.4</v>
      </c>
      <c r="L31" s="17" t="n">
        <v>0</v>
      </c>
      <c r="M31" s="17">
        <f>G31+J31</f>
        <v/>
      </c>
      <c r="N31" s="17">
        <f>O31/M31</f>
        <v/>
      </c>
      <c r="O31" s="17">
        <f>I31+L31</f>
        <v/>
      </c>
    </row>
    <row r="32" ht="28.5" customHeight="1" s="3">
      <c r="A32" s="6" t="n">
        <v>29</v>
      </c>
      <c r="B32" s="14" t="inlineStr">
        <is>
          <t>010157</t>
        </is>
      </c>
      <c r="C32" s="15" t="inlineStr">
        <is>
          <t>食品类</t>
        </is>
      </c>
      <c r="D32" s="16" t="inlineStr">
        <is>
          <t>辣椒粉（烈火牛肉专用）</t>
        </is>
      </c>
      <c r="E32" s="16" t="inlineStr">
        <is>
          <t>500g/包*20包/件</t>
        </is>
      </c>
      <c r="F32" s="16" t="inlineStr">
        <is>
          <t>包</t>
        </is>
      </c>
      <c r="G32" s="6" t="n">
        <v>1</v>
      </c>
      <c r="H32" s="17" t="n">
        <v>26.25</v>
      </c>
      <c r="I32" s="6" t="n">
        <v>26.25</v>
      </c>
      <c r="J32" s="17" t="n">
        <v>2</v>
      </c>
      <c r="K32" s="17" t="n">
        <v>26.25</v>
      </c>
      <c r="L32" s="17" t="n">
        <v>52.5</v>
      </c>
      <c r="M32" s="17">
        <f>G32+J32</f>
        <v/>
      </c>
      <c r="N32" s="17">
        <f>O32/M32</f>
        <v/>
      </c>
      <c r="O32" s="17">
        <f>I32+L32</f>
        <v/>
      </c>
    </row>
    <row r="33" ht="28.5" customHeight="1" s="3">
      <c r="A33" s="6" t="n">
        <v>30</v>
      </c>
      <c r="B33" s="14" t="inlineStr">
        <is>
          <t>010159</t>
        </is>
      </c>
      <c r="C33" s="15" t="inlineStr">
        <is>
          <t>食品类</t>
        </is>
      </c>
      <c r="D33" s="16" t="inlineStr">
        <is>
          <t>土豆片</t>
        </is>
      </c>
      <c r="E33" s="16" t="inlineStr">
        <is>
          <t>500g/包*20包/件+两包撒粉</t>
        </is>
      </c>
      <c r="F33" s="16" t="inlineStr">
        <is>
          <t>件[1件=20包]</t>
        </is>
      </c>
      <c r="G33" s="6" t="n">
        <v>1.3</v>
      </c>
      <c r="H33" s="17" t="n">
        <v>141.75</v>
      </c>
      <c r="I33" s="6" t="n">
        <v>184.275</v>
      </c>
      <c r="J33" s="17" t="n">
        <v>7</v>
      </c>
      <c r="K33" s="17" t="n">
        <v>141.75</v>
      </c>
      <c r="L33" s="17" t="n">
        <v>992.25</v>
      </c>
      <c r="M33" s="17">
        <f>G33+J33</f>
        <v/>
      </c>
      <c r="N33" s="17">
        <f>O33/M33</f>
        <v/>
      </c>
      <c r="O33" s="17">
        <f>I33+L33</f>
        <v/>
      </c>
    </row>
    <row r="34" ht="14.25" customHeight="1" s="3">
      <c r="A34" s="6" t="n">
        <v>31</v>
      </c>
      <c r="B34" s="14" t="inlineStr">
        <is>
          <t>010173</t>
        </is>
      </c>
      <c r="C34" s="15" t="inlineStr">
        <is>
          <t>食品类</t>
        </is>
      </c>
      <c r="D34" s="16" t="inlineStr">
        <is>
          <t>抹茶豆花粉</t>
        </is>
      </c>
      <c r="E34" s="16" t="inlineStr">
        <is>
          <t>700g/包*20包/件</t>
        </is>
      </c>
      <c r="F34" s="16" t="inlineStr">
        <is>
          <t>包</t>
        </is>
      </c>
      <c r="G34" s="6" t="n">
        <v>5</v>
      </c>
      <c r="H34" s="17" t="n">
        <v>29.93</v>
      </c>
      <c r="I34" s="6" t="n">
        <v>149.65</v>
      </c>
      <c r="J34" s="17" t="n">
        <v>10</v>
      </c>
      <c r="K34" s="17" t="n">
        <v>29.93</v>
      </c>
      <c r="L34" s="17" t="n">
        <v>299.3</v>
      </c>
      <c r="M34" s="17">
        <f>G34+J34</f>
        <v/>
      </c>
      <c r="N34" s="17">
        <f>O34/M34</f>
        <v/>
      </c>
      <c r="O34" s="17">
        <f>I34+L34</f>
        <v/>
      </c>
    </row>
    <row r="35" ht="14.25" customHeight="1" s="3">
      <c r="A35" s="6" t="n">
        <v>32</v>
      </c>
      <c r="B35" s="14" t="inlineStr">
        <is>
          <t>010177</t>
        </is>
      </c>
      <c r="C35" s="15" t="inlineStr">
        <is>
          <t>食品类</t>
        </is>
      </c>
      <c r="D35" s="16" t="inlineStr">
        <is>
          <t>黄金椰片</t>
        </is>
      </c>
      <c r="E35" s="16" t="inlineStr">
        <is>
          <t>500g/包*20包/件</t>
        </is>
      </c>
      <c r="F35" s="16" t="inlineStr">
        <is>
          <t>包</t>
        </is>
      </c>
      <c r="G35" s="6" t="n">
        <v>1</v>
      </c>
      <c r="H35" s="17" t="n">
        <v>29.4</v>
      </c>
      <c r="I35" s="6" t="n">
        <v>29.4</v>
      </c>
      <c r="J35" s="17" t="n">
        <v>2</v>
      </c>
      <c r="K35" s="17" t="n">
        <v>29.4</v>
      </c>
      <c r="L35" s="17" t="n">
        <v>58.8</v>
      </c>
      <c r="M35" s="17">
        <f>G35+J35</f>
        <v/>
      </c>
      <c r="N35" s="17">
        <f>O35/M35</f>
        <v/>
      </c>
      <c r="O35" s="17">
        <f>I35+L35</f>
        <v/>
      </c>
    </row>
    <row r="36" ht="14.25" customHeight="1" s="3">
      <c r="A36" s="6" t="n">
        <v>33</v>
      </c>
      <c r="B36" s="14" t="inlineStr">
        <is>
          <t>010178</t>
        </is>
      </c>
      <c r="C36" s="15" t="inlineStr">
        <is>
          <t>食品类</t>
        </is>
      </c>
      <c r="D36" s="16" t="inlineStr">
        <is>
          <t>青提果溶</t>
        </is>
      </c>
      <c r="E36" s="16" t="inlineStr">
        <is>
          <t>1.2KG/瓶12瓶/件</t>
        </is>
      </c>
      <c r="F36" s="16" t="inlineStr">
        <is>
          <t>瓶</t>
        </is>
      </c>
      <c r="G36" s="6" t="n">
        <v>13</v>
      </c>
      <c r="H36" s="17" t="n">
        <v>29.4</v>
      </c>
      <c r="I36" s="6" t="n">
        <v>382.2</v>
      </c>
      <c r="J36" s="17" t="n">
        <v>24</v>
      </c>
      <c r="K36" s="17" t="n">
        <v>29.4</v>
      </c>
      <c r="L36" s="17" t="n">
        <v>705.6</v>
      </c>
      <c r="M36" s="17">
        <f>G36+J36</f>
        <v/>
      </c>
      <c r="N36" s="17">
        <f>O36/M36</f>
        <v/>
      </c>
      <c r="O36" s="17">
        <f>I36+L36</f>
        <v/>
      </c>
    </row>
    <row r="37" ht="14.25" customHeight="1" s="3">
      <c r="A37" s="6" t="n">
        <v>34</v>
      </c>
      <c r="B37" s="14" t="inlineStr">
        <is>
          <t>010179</t>
        </is>
      </c>
      <c r="C37" s="15" t="inlineStr">
        <is>
          <t>食品类</t>
        </is>
      </c>
      <c r="D37" s="16" t="inlineStr">
        <is>
          <t>椰号-厚椰乳</t>
        </is>
      </c>
      <c r="E37" s="16" t="inlineStr">
        <is>
          <t>1000g/瓶*12瓶/件</t>
        </is>
      </c>
      <c r="F37" s="16" t="inlineStr">
        <is>
          <t>瓶</t>
        </is>
      </c>
      <c r="G37" s="6" t="n">
        <v>8</v>
      </c>
      <c r="H37" s="17" t="n">
        <v>15.225</v>
      </c>
      <c r="I37" s="6" t="n">
        <v>121.8</v>
      </c>
      <c r="J37" s="17" t="n">
        <v>5</v>
      </c>
      <c r="K37" s="17" t="n">
        <v>15.225</v>
      </c>
      <c r="L37" s="17" t="n">
        <v>76.13</v>
      </c>
      <c r="M37" s="17">
        <f>G37+J37</f>
        <v/>
      </c>
      <c r="N37" s="17">
        <f>O37/M37</f>
        <v/>
      </c>
      <c r="O37" s="17">
        <f>I37+L37</f>
        <v/>
      </c>
    </row>
    <row r="38" ht="14.25" customHeight="1" s="3">
      <c r="A38" s="6" t="n">
        <v>35</v>
      </c>
      <c r="B38" s="14" t="inlineStr">
        <is>
          <t>010181</t>
        </is>
      </c>
      <c r="C38" s="15" t="inlineStr">
        <is>
          <t>食品类</t>
        </is>
      </c>
      <c r="D38" s="16" t="inlineStr">
        <is>
          <t>新品萝卜丁</t>
        </is>
      </c>
      <c r="E38" s="16" t="inlineStr">
        <is>
          <t>500g/包*20包/件</t>
        </is>
      </c>
      <c r="F38" s="16" t="inlineStr">
        <is>
          <t>件[1件=20包]</t>
        </is>
      </c>
      <c r="G38" s="6" t="n">
        <v>2</v>
      </c>
      <c r="H38" s="17" t="n">
        <v>178.5</v>
      </c>
      <c r="I38" s="6" t="n">
        <v>357</v>
      </c>
      <c r="J38" s="17" t="n">
        <v>0</v>
      </c>
      <c r="K38" s="17" t="n">
        <v>178.5</v>
      </c>
      <c r="L38" s="17" t="n">
        <v>0</v>
      </c>
      <c r="M38" s="17">
        <f>G38+J38</f>
        <v/>
      </c>
      <c r="N38" s="17">
        <f>O38/M38</f>
        <v/>
      </c>
      <c r="O38" s="17">
        <f>I38+L38</f>
        <v/>
      </c>
    </row>
    <row r="39" ht="14.25" customHeight="1" s="3">
      <c r="A39" s="6" t="n">
        <v>36</v>
      </c>
      <c r="B39" s="14" t="inlineStr">
        <is>
          <t>010183</t>
        </is>
      </c>
      <c r="C39" s="15" t="inlineStr">
        <is>
          <t>食品类</t>
        </is>
      </c>
      <c r="D39" s="16" t="inlineStr">
        <is>
          <t>泡椒酱</t>
        </is>
      </c>
      <c r="E39" s="16" t="inlineStr">
        <is>
          <t>1kg/包*10包/件</t>
        </is>
      </c>
      <c r="F39" s="16" t="inlineStr">
        <is>
          <t>包</t>
        </is>
      </c>
      <c r="G39" s="6" t="n">
        <v>7</v>
      </c>
      <c r="H39" s="17" t="n">
        <v>40.95</v>
      </c>
      <c r="I39" s="6" t="n">
        <v>286.65</v>
      </c>
      <c r="J39" s="17" t="n">
        <v>20</v>
      </c>
      <c r="K39" s="17" t="n">
        <v>40.95</v>
      </c>
      <c r="L39" s="17" t="n">
        <v>819</v>
      </c>
      <c r="M39" s="17">
        <f>G39+J39</f>
        <v/>
      </c>
      <c r="N39" s="17">
        <f>O39/M39</f>
        <v/>
      </c>
      <c r="O39" s="17">
        <f>I39+L39</f>
        <v/>
      </c>
    </row>
    <row r="40" ht="14.25" customHeight="1" s="3">
      <c r="A40" s="6" t="n">
        <v>37</v>
      </c>
      <c r="B40" s="14" t="inlineStr">
        <is>
          <t>010184</t>
        </is>
      </c>
      <c r="C40" s="15" t="inlineStr">
        <is>
          <t>食品类</t>
        </is>
      </c>
      <c r="D40" s="16" t="inlineStr">
        <is>
          <t>香辣酱</t>
        </is>
      </c>
      <c r="E40" s="16" t="inlineStr">
        <is>
          <t>1kg/包*10包/件</t>
        </is>
      </c>
      <c r="F40" s="16" t="inlineStr">
        <is>
          <t>包</t>
        </is>
      </c>
      <c r="G40" s="6" t="n">
        <v>20</v>
      </c>
      <c r="H40" s="17" t="n">
        <v>40.95</v>
      </c>
      <c r="I40" s="6" t="n">
        <v>819</v>
      </c>
      <c r="J40" s="17" t="n">
        <v>10</v>
      </c>
      <c r="K40" s="17" t="n">
        <v>40.95</v>
      </c>
      <c r="L40" s="17" t="n">
        <v>409.5</v>
      </c>
      <c r="M40" s="17">
        <f>G40+J40</f>
        <v/>
      </c>
      <c r="N40" s="17">
        <f>O40/M40</f>
        <v/>
      </c>
      <c r="O40" s="17">
        <f>I40+L40</f>
        <v/>
      </c>
    </row>
    <row r="41" ht="14.25" customHeight="1" s="3">
      <c r="A41" s="6" t="n">
        <v>38</v>
      </c>
      <c r="B41" s="14" t="inlineStr">
        <is>
          <t>010187</t>
        </is>
      </c>
      <c r="C41" s="15" t="inlineStr">
        <is>
          <t>食品类</t>
        </is>
      </c>
      <c r="D41" s="16" t="inlineStr">
        <is>
          <t>秘制香料包</t>
        </is>
      </c>
      <c r="E41" s="16" t="inlineStr">
        <is>
          <t>1kg/包*10包/件</t>
        </is>
      </c>
      <c r="F41" s="16" t="inlineStr">
        <is>
          <t>包</t>
        </is>
      </c>
      <c r="G41" s="6" t="n">
        <v>7</v>
      </c>
      <c r="H41" s="17" t="n">
        <v>189</v>
      </c>
      <c r="I41" s="6" t="n">
        <v>1323</v>
      </c>
      <c r="J41" s="17" t="n">
        <v>4</v>
      </c>
      <c r="K41" s="17" t="n">
        <v>189</v>
      </c>
      <c r="L41" s="17" t="n">
        <v>756</v>
      </c>
      <c r="M41" s="17">
        <f>G41+J41</f>
        <v/>
      </c>
      <c r="N41" s="17">
        <f>O41/M41</f>
        <v/>
      </c>
      <c r="O41" s="17">
        <f>I41+L41</f>
        <v/>
      </c>
    </row>
    <row r="42" ht="14.25" customHeight="1" s="3">
      <c r="A42" s="6" t="n">
        <v>39</v>
      </c>
      <c r="B42" s="14" t="inlineStr">
        <is>
          <t>010202</t>
        </is>
      </c>
      <c r="C42" s="15" t="inlineStr">
        <is>
          <t>食品类</t>
        </is>
      </c>
      <c r="D42" s="16" t="inlineStr">
        <is>
          <t>鲜香王1号</t>
        </is>
      </c>
      <c r="E42" s="16" t="inlineStr">
        <is>
          <t>500g/包*10包/件</t>
        </is>
      </c>
      <c r="F42" s="16" t="inlineStr">
        <is>
          <t>包</t>
        </is>
      </c>
      <c r="G42" s="6" t="n">
        <v>0</v>
      </c>
      <c r="H42" s="17" t="n">
        <v>40.95</v>
      </c>
      <c r="I42" s="6" t="n">
        <v>0</v>
      </c>
      <c r="J42" s="17" t="n">
        <v>0</v>
      </c>
      <c r="K42" s="17" t="n">
        <v>40.95</v>
      </c>
      <c r="L42" s="17" t="n">
        <v>0</v>
      </c>
      <c r="M42" s="17">
        <f>G42+J42</f>
        <v/>
      </c>
      <c r="N42" s="17">
        <f>O42/M42</f>
        <v/>
      </c>
      <c r="O42" s="17">
        <f>I42+L42</f>
        <v/>
      </c>
    </row>
    <row r="43" ht="14.25" customHeight="1" s="3">
      <c r="A43" s="6" t="n">
        <v>40</v>
      </c>
      <c r="B43" s="14" t="inlineStr">
        <is>
          <t>010203</t>
        </is>
      </c>
      <c r="C43" s="15" t="inlineStr">
        <is>
          <t>食品类</t>
        </is>
      </c>
      <c r="D43" s="16" t="inlineStr">
        <is>
          <t>呈鲜厚味素</t>
        </is>
      </c>
      <c r="E43" s="16" t="inlineStr">
        <is>
          <t>1kg/包*10包/件</t>
        </is>
      </c>
      <c r="F43" s="16" t="inlineStr">
        <is>
          <t>包</t>
        </is>
      </c>
      <c r="G43" s="6" t="n">
        <v>0</v>
      </c>
      <c r="H43" s="17" t="n">
        <v>57.75</v>
      </c>
      <c r="I43" s="6" t="n">
        <v>0</v>
      </c>
      <c r="J43" s="17" t="n">
        <v>0</v>
      </c>
      <c r="K43" s="17" t="n">
        <v>57.75</v>
      </c>
      <c r="L43" s="17" t="n">
        <v>0</v>
      </c>
      <c r="M43" s="17">
        <f>G43+J43</f>
        <v/>
      </c>
      <c r="N43" s="17">
        <f>O43/M43</f>
        <v/>
      </c>
      <c r="O43" s="17">
        <f>I43+L43</f>
        <v/>
      </c>
    </row>
    <row r="44" ht="14.25" customHeight="1" s="3">
      <c r="A44" s="6" t="n">
        <v>41</v>
      </c>
      <c r="B44" s="14" t="inlineStr">
        <is>
          <t>010204</t>
        </is>
      </c>
      <c r="C44" s="15" t="inlineStr">
        <is>
          <t>食品类</t>
        </is>
      </c>
      <c r="D44" s="16" t="inlineStr">
        <is>
          <t>鸡肉香粉</t>
        </is>
      </c>
      <c r="E44" s="16" t="inlineStr">
        <is>
          <t>1kg/包*20包/件</t>
        </is>
      </c>
      <c r="F44" s="16" t="inlineStr">
        <is>
          <t>包</t>
        </is>
      </c>
      <c r="G44" s="6" t="n">
        <v>0</v>
      </c>
      <c r="H44" s="17" t="n">
        <v>30.45</v>
      </c>
      <c r="I44" s="6" t="n">
        <v>0</v>
      </c>
      <c r="J44" s="17" t="n">
        <v>0</v>
      </c>
      <c r="K44" s="17" t="n">
        <v>30.45</v>
      </c>
      <c r="L44" s="17" t="n">
        <v>0</v>
      </c>
      <c r="M44" s="17">
        <f>G44+J44</f>
        <v/>
      </c>
      <c r="N44" s="17">
        <f>O44/M44</f>
        <v/>
      </c>
      <c r="O44" s="17">
        <f>I44+L44</f>
        <v/>
      </c>
    </row>
    <row r="45" ht="14.25" customHeight="1" s="3">
      <c r="A45" s="6" t="n">
        <v>42</v>
      </c>
      <c r="B45" s="14" t="inlineStr">
        <is>
          <t>010205</t>
        </is>
      </c>
      <c r="C45" s="15" t="inlineStr">
        <is>
          <t>食品类</t>
        </is>
      </c>
      <c r="D45" s="16" t="inlineStr">
        <is>
          <t>贵州皱皮辣椒</t>
        </is>
      </c>
      <c r="E45" s="16" t="inlineStr">
        <is>
          <t>2.5kg/包*4包/件</t>
        </is>
      </c>
      <c r="F45" s="16" t="inlineStr">
        <is>
          <t>包</t>
        </is>
      </c>
      <c r="G45" s="6" t="n">
        <v>0</v>
      </c>
      <c r="H45" s="17" t="n">
        <v>0</v>
      </c>
      <c r="I45" s="6" t="n">
        <v>0</v>
      </c>
      <c r="J45" s="17" t="n">
        <v>0</v>
      </c>
      <c r="K45" s="17" t="n">
        <v>0</v>
      </c>
      <c r="L45" s="17" t="n">
        <v>0</v>
      </c>
      <c r="M45" s="17">
        <f>G45+J45</f>
        <v/>
      </c>
      <c r="N45" s="17">
        <f>O45/M45</f>
        <v/>
      </c>
      <c r="O45" s="17">
        <f>I45+L45</f>
        <v/>
      </c>
    </row>
    <row r="46" ht="14.25" customHeight="1" s="3">
      <c r="A46" s="6" t="n">
        <v>43</v>
      </c>
      <c r="B46" s="14" t="inlineStr">
        <is>
          <t>010208</t>
        </is>
      </c>
      <c r="C46" s="15" t="inlineStr">
        <is>
          <t>食品类</t>
        </is>
      </c>
      <c r="D46" s="16" t="inlineStr">
        <is>
          <t>麻辣撒粉</t>
        </is>
      </c>
      <c r="E46" s="16" t="inlineStr">
        <is>
          <t>500/包g*20包/件</t>
        </is>
      </c>
      <c r="F46" s="16" t="inlineStr">
        <is>
          <t>包</t>
        </is>
      </c>
      <c r="G46" s="6" t="n">
        <v>2</v>
      </c>
      <c r="H46" s="17" t="n">
        <v>30.45</v>
      </c>
      <c r="I46" s="6" t="n">
        <v>60.9</v>
      </c>
      <c r="J46" s="17" t="n">
        <v>2</v>
      </c>
      <c r="K46" s="17" t="n">
        <v>30.45</v>
      </c>
      <c r="L46" s="17" t="n">
        <v>60.9</v>
      </c>
      <c r="M46" s="17">
        <f>G46+J46</f>
        <v/>
      </c>
      <c r="N46" s="17">
        <f>O46/M46</f>
        <v/>
      </c>
      <c r="O46" s="17">
        <f>I46+L46</f>
        <v/>
      </c>
    </row>
    <row r="47" ht="28.5" customHeight="1" s="3">
      <c r="A47" s="6" t="n">
        <v>44</v>
      </c>
      <c r="B47" s="14" t="inlineStr">
        <is>
          <t>010212</t>
        </is>
      </c>
      <c r="C47" s="15" t="inlineStr">
        <is>
          <t>食品类</t>
        </is>
      </c>
      <c r="D47" s="16" t="inlineStr">
        <is>
          <t>新品拌制豇豆粒（酸豆角）</t>
        </is>
      </c>
      <c r="E47" s="16" t="inlineStr">
        <is>
          <t>500克/包*20包/件</t>
        </is>
      </c>
      <c r="F47" s="16" t="inlineStr">
        <is>
          <t>件[1件=20包]</t>
        </is>
      </c>
      <c r="G47" s="6" t="n">
        <v>2.15</v>
      </c>
      <c r="H47" s="17" t="n">
        <v>162.75</v>
      </c>
      <c r="I47" s="6" t="n">
        <v>349.9125</v>
      </c>
      <c r="J47" s="17" t="n">
        <v>4</v>
      </c>
      <c r="K47" s="17" t="n">
        <v>162.75</v>
      </c>
      <c r="L47" s="17" t="n">
        <v>651</v>
      </c>
      <c r="M47" s="17">
        <f>G47+J47</f>
        <v/>
      </c>
      <c r="N47" s="17">
        <f>O47/M47</f>
        <v/>
      </c>
      <c r="O47" s="17">
        <f>I47+L47</f>
        <v/>
      </c>
    </row>
    <row r="48" ht="14.25" customHeight="1" s="3">
      <c r="A48" s="6" t="n">
        <v>45</v>
      </c>
      <c r="B48" s="109" t="inlineStr">
        <is>
          <t>010217</t>
        </is>
      </c>
      <c r="C48" s="15" t="inlineStr">
        <is>
          <t>食品类</t>
        </is>
      </c>
      <c r="D48" s="16" t="inlineStr">
        <is>
          <t>糊辣椒</t>
        </is>
      </c>
      <c r="E48" s="16" t="inlineStr">
        <is>
          <t>1.5kg/包*8包/件</t>
        </is>
      </c>
      <c r="F48" s="16" t="inlineStr">
        <is>
          <t>包</t>
        </is>
      </c>
      <c r="G48" s="6" t="n">
        <v>2</v>
      </c>
      <c r="H48" s="17" t="n">
        <v>59.22</v>
      </c>
      <c r="I48" s="6" t="n">
        <v>118.44</v>
      </c>
      <c r="J48" s="17" t="n">
        <v>0</v>
      </c>
      <c r="K48" s="17" t="n">
        <v>59.22</v>
      </c>
      <c r="L48" s="17" t="n">
        <v>0</v>
      </c>
      <c r="M48" s="17">
        <f>G48+J48</f>
        <v/>
      </c>
      <c r="N48" s="17">
        <f>O48/M48</f>
        <v/>
      </c>
      <c r="O48" s="17">
        <f>I48+L48</f>
        <v/>
      </c>
    </row>
    <row r="49" ht="14.25" customHeight="1" s="3">
      <c r="A49" s="6" t="n">
        <v>46</v>
      </c>
      <c r="B49" s="14" t="inlineStr">
        <is>
          <t>010218</t>
        </is>
      </c>
      <c r="C49" s="15" t="inlineStr">
        <is>
          <t>食品类</t>
        </is>
      </c>
      <c r="D49" s="16" t="inlineStr">
        <is>
          <t>油辣椒</t>
        </is>
      </c>
      <c r="E49" s="16" t="inlineStr">
        <is>
          <t>2.5kg/包*6包/件</t>
        </is>
      </c>
      <c r="F49" s="16" t="inlineStr">
        <is>
          <t>包</t>
        </is>
      </c>
      <c r="G49" s="6" t="n">
        <v>0</v>
      </c>
      <c r="H49" s="17" t="n">
        <v>0</v>
      </c>
      <c r="I49" s="6" t="n">
        <v>0</v>
      </c>
      <c r="J49" s="17" t="n">
        <v>0</v>
      </c>
      <c r="K49" s="17" t="n">
        <v>0</v>
      </c>
      <c r="L49" s="17" t="n">
        <v>0</v>
      </c>
      <c r="M49" s="17">
        <f>G49+J49</f>
        <v/>
      </c>
      <c r="N49" s="17">
        <f>O49/M49</f>
        <v/>
      </c>
      <c r="O49" s="17">
        <f>I49+L49</f>
        <v/>
      </c>
    </row>
    <row r="50" ht="14.25" customHeight="1" s="3">
      <c r="A50" s="6" t="n">
        <v>47</v>
      </c>
      <c r="B50" s="14" t="inlineStr">
        <is>
          <t>010222</t>
        </is>
      </c>
      <c r="C50" s="15" t="inlineStr">
        <is>
          <t>食品类</t>
        </is>
      </c>
      <c r="D50" s="16" t="inlineStr">
        <is>
          <t>白灼汁</t>
        </is>
      </c>
      <c r="E50" s="16" t="inlineStr">
        <is>
          <t>1.8L/瓶*6瓶/件</t>
        </is>
      </c>
      <c r="F50" s="16" t="inlineStr">
        <is>
          <t>瓶</t>
        </is>
      </c>
      <c r="G50" s="6" t="n">
        <v>0</v>
      </c>
      <c r="H50" s="17" t="n">
        <v>0</v>
      </c>
      <c r="I50" s="6" t="n">
        <v>0</v>
      </c>
      <c r="J50" s="17" t="n">
        <v>0</v>
      </c>
      <c r="K50" s="17" t="n">
        <v>0</v>
      </c>
      <c r="L50" s="17" t="n">
        <v>0</v>
      </c>
      <c r="M50" s="17">
        <f>G50+J50</f>
        <v/>
      </c>
      <c r="N50" s="17">
        <f>O50/M50</f>
        <v/>
      </c>
      <c r="O50" s="17">
        <f>I50+L50</f>
        <v/>
      </c>
    </row>
    <row r="51" ht="14.25" customHeight="1" s="3">
      <c r="A51" s="6" t="n">
        <v>48</v>
      </c>
      <c r="B51" s="14" t="inlineStr">
        <is>
          <t>010226</t>
        </is>
      </c>
      <c r="C51" s="15" t="inlineStr">
        <is>
          <t>食品类</t>
        </is>
      </c>
      <c r="D51" s="16" t="inlineStr">
        <is>
          <t>红片糖</t>
        </is>
      </c>
      <c r="E51" s="16" t="inlineStr">
        <is>
          <t>10KG/件</t>
        </is>
      </c>
      <c r="F51" s="16" t="inlineStr">
        <is>
          <t>件</t>
        </is>
      </c>
      <c r="G51" s="6" t="n">
        <v>0</v>
      </c>
      <c r="H51" s="17" t="n">
        <v>0</v>
      </c>
      <c r="I51" s="6" t="n">
        <v>0</v>
      </c>
      <c r="J51" s="17" t="n">
        <v>0</v>
      </c>
      <c r="K51" s="17" t="n">
        <v>0</v>
      </c>
      <c r="L51" s="17" t="n">
        <v>0</v>
      </c>
      <c r="M51" s="17">
        <f>G51+J51</f>
        <v/>
      </c>
      <c r="N51" s="17">
        <f>O51/M51</f>
        <v/>
      </c>
      <c r="O51" s="17">
        <f>I51+L51</f>
        <v/>
      </c>
    </row>
    <row r="52" ht="14.25" customHeight="1" s="3">
      <c r="A52" s="6" t="n">
        <v>49</v>
      </c>
      <c r="B52" s="14" t="inlineStr">
        <is>
          <t>020064</t>
        </is>
      </c>
      <c r="C52" s="14" t="inlineStr">
        <is>
          <t>易耗类</t>
        </is>
      </c>
      <c r="D52" s="16" t="inlineStr">
        <is>
          <t>粉小主小插旗</t>
        </is>
      </c>
      <c r="E52" s="14" t="inlineStr">
        <is>
          <t>500个/包</t>
        </is>
      </c>
      <c r="F52" s="14" t="inlineStr">
        <is>
          <t>包[1包=500个]</t>
        </is>
      </c>
      <c r="G52" s="6" t="n">
        <v>0.5</v>
      </c>
      <c r="H52" s="17" t="n">
        <v>65</v>
      </c>
      <c r="I52" s="6" t="n">
        <v>32.5</v>
      </c>
      <c r="J52" s="17" t="n">
        <v>0</v>
      </c>
      <c r="K52" s="17" t="n">
        <v>65</v>
      </c>
      <c r="L52" s="17" t="n">
        <v>0</v>
      </c>
      <c r="M52" s="17">
        <f>G52+J52</f>
        <v/>
      </c>
      <c r="N52" s="17">
        <f>O52/M52</f>
        <v/>
      </c>
      <c r="O52" s="17">
        <f>I52+L52</f>
        <v/>
      </c>
    </row>
    <row r="53" ht="42.75" customHeight="1" s="3">
      <c r="A53" s="6" t="n">
        <v>50</v>
      </c>
      <c r="B53" s="14" t="inlineStr">
        <is>
          <t>030003</t>
        </is>
      </c>
      <c r="C53" s="15" t="inlineStr">
        <is>
          <t>易耗类</t>
        </is>
      </c>
      <c r="D53" s="16" t="inlineStr">
        <is>
          <t>淋膜纸筷套（筷子、勺子、纸巾、牙签）</t>
        </is>
      </c>
      <c r="E53" s="14" t="inlineStr">
        <is>
          <t>件[1件=800个]</t>
        </is>
      </c>
      <c r="F53" s="14" t="inlineStr">
        <is>
          <t>800个/件</t>
        </is>
      </c>
      <c r="G53" s="6" t="n">
        <v>1.375</v>
      </c>
      <c r="H53" s="17" t="n">
        <v>243.6</v>
      </c>
      <c r="I53" s="6" t="n">
        <v>334.95</v>
      </c>
      <c r="J53" s="17" t="n">
        <v>3</v>
      </c>
      <c r="K53" s="17" t="n">
        <v>243.6</v>
      </c>
      <c r="L53" s="17" t="n">
        <v>730.8</v>
      </c>
      <c r="M53" s="17">
        <f>G53+J53</f>
        <v/>
      </c>
      <c r="N53" s="17">
        <f>O53/M53</f>
        <v/>
      </c>
      <c r="O53" s="17">
        <f>I53+L53</f>
        <v/>
      </c>
    </row>
    <row r="54" ht="14.25" customHeight="1" s="3">
      <c r="A54" s="6" t="n">
        <v>51</v>
      </c>
      <c r="B54" s="14" t="inlineStr">
        <is>
          <t>030004</t>
        </is>
      </c>
      <c r="C54" s="15" t="inlineStr">
        <is>
          <t>易耗类</t>
        </is>
      </c>
      <c r="D54" s="16" t="inlineStr">
        <is>
          <t>淋膜牛皮纸袋</t>
        </is>
      </c>
      <c r="E54" s="16" t="inlineStr">
        <is>
          <t>10000个/件</t>
        </is>
      </c>
      <c r="F54" s="16" t="inlineStr">
        <is>
          <t>个</t>
        </is>
      </c>
      <c r="G54" s="6" t="n">
        <v>500</v>
      </c>
      <c r="H54" s="17" t="n">
        <v>0.1733</v>
      </c>
      <c r="I54" s="6" t="n">
        <v>86.65000000000001</v>
      </c>
      <c r="J54" s="17" t="n">
        <v>300</v>
      </c>
      <c r="K54" s="17" t="n">
        <v>0.1733</v>
      </c>
      <c r="L54" s="17" t="n">
        <v>51.99</v>
      </c>
      <c r="M54" s="17">
        <f>G54+J54</f>
        <v/>
      </c>
      <c r="N54" s="17">
        <f>O54/M54</f>
        <v/>
      </c>
      <c r="O54" s="17">
        <f>I54+L54</f>
        <v/>
      </c>
    </row>
    <row r="55" ht="14.25" customHeight="1" s="3">
      <c r="A55" s="6" t="n">
        <v>52</v>
      </c>
      <c r="B55" s="14" t="inlineStr">
        <is>
          <t>030007</t>
        </is>
      </c>
      <c r="C55" s="15" t="inlineStr">
        <is>
          <t>易耗类</t>
        </is>
      </c>
      <c r="D55" s="16" t="inlineStr">
        <is>
          <t>纸巾</t>
        </is>
      </c>
      <c r="E55" s="16" t="inlineStr">
        <is>
          <t>60包/件</t>
        </is>
      </c>
      <c r="F55" s="16" t="inlineStr">
        <is>
          <t>件[1件=60包]</t>
        </is>
      </c>
      <c r="G55" s="6" t="n">
        <v>1</v>
      </c>
      <c r="H55" s="17" t="n">
        <v>157.5</v>
      </c>
      <c r="I55" s="6" t="n">
        <v>157.5</v>
      </c>
      <c r="J55" s="17" t="n">
        <v>0</v>
      </c>
      <c r="K55" s="17" t="n">
        <v>157.5</v>
      </c>
      <c r="L55" s="17" t="n">
        <v>0</v>
      </c>
      <c r="M55" s="17">
        <f>G55+J55</f>
        <v/>
      </c>
      <c r="N55" s="17">
        <f>O55/M55</f>
        <v/>
      </c>
      <c r="O55" s="17">
        <f>I55+L55</f>
        <v/>
      </c>
    </row>
    <row r="56" ht="14.25" customHeight="1" s="3">
      <c r="A56" s="6" t="n">
        <v>53</v>
      </c>
      <c r="B56" s="14" t="inlineStr">
        <is>
          <t>030009</t>
        </is>
      </c>
      <c r="C56" s="15" t="inlineStr">
        <is>
          <t>易耗类</t>
        </is>
      </c>
      <c r="D56" s="16" t="inlineStr">
        <is>
          <t>吸油纸</t>
        </is>
      </c>
      <c r="E56" s="16" t="inlineStr">
        <is>
          <t>1000张/包</t>
        </is>
      </c>
      <c r="F56" s="16" t="inlineStr">
        <is>
          <t>包</t>
        </is>
      </c>
      <c r="G56" s="6" t="n">
        <v>3</v>
      </c>
      <c r="H56" s="17" t="n">
        <v>99.75</v>
      </c>
      <c r="I56" s="6" t="n">
        <v>299.25</v>
      </c>
      <c r="J56" s="17" t="n">
        <v>0</v>
      </c>
      <c r="K56" s="17" t="n">
        <v>99.75</v>
      </c>
      <c r="L56" s="17" t="n">
        <v>0</v>
      </c>
      <c r="M56" s="17">
        <f>G56+J56</f>
        <v/>
      </c>
      <c r="N56" s="17">
        <f>O56/M56</f>
        <v/>
      </c>
      <c r="O56" s="17">
        <f>I56+L56</f>
        <v/>
      </c>
    </row>
    <row r="57" ht="14.25" customHeight="1" s="3">
      <c r="A57" s="6" t="n">
        <v>54</v>
      </c>
      <c r="B57" s="14" t="inlineStr">
        <is>
          <t>030010</t>
        </is>
      </c>
      <c r="C57" s="15" t="inlineStr">
        <is>
          <t>易耗类</t>
        </is>
      </c>
      <c r="D57" s="16" t="inlineStr">
        <is>
          <t>镀铝保温袋</t>
        </is>
      </c>
      <c r="E57" s="16" t="inlineStr">
        <is>
          <t>500个/件</t>
        </is>
      </c>
      <c r="F57" s="16" t="inlineStr">
        <is>
          <t>件[1件=500个]</t>
        </is>
      </c>
      <c r="G57" s="6" t="n">
        <v>2.3</v>
      </c>
      <c r="H57" s="17" t="n">
        <v>454</v>
      </c>
      <c r="I57" s="6" t="n">
        <v>1044.2</v>
      </c>
      <c r="J57" s="17" t="n">
        <v>3</v>
      </c>
      <c r="K57" s="17" t="n">
        <v>454</v>
      </c>
      <c r="L57" s="17" t="n">
        <v>1362</v>
      </c>
      <c r="M57" s="17">
        <f>G57+J57</f>
        <v/>
      </c>
      <c r="N57" s="17">
        <f>O57/M57</f>
        <v/>
      </c>
      <c r="O57" s="17">
        <f>I57+L57</f>
        <v/>
      </c>
    </row>
    <row r="58" ht="28.5" customHeight="1" s="3">
      <c r="A58" s="6" t="n">
        <v>55</v>
      </c>
      <c r="B58" s="14" t="inlineStr">
        <is>
          <t>030012</t>
        </is>
      </c>
      <c r="C58" s="15" t="inlineStr">
        <is>
          <t>易耗类</t>
        </is>
      </c>
      <c r="D58" s="16" t="inlineStr">
        <is>
          <t>白色汤粉餐盒（1700毫升）</t>
        </is>
      </c>
      <c r="E58" s="16" t="inlineStr">
        <is>
          <t>300个/件</t>
        </is>
      </c>
      <c r="F58" s="16" t="inlineStr">
        <is>
          <t>件[1件=300个]</t>
        </is>
      </c>
      <c r="G58" s="6" t="n">
        <v>0</v>
      </c>
      <c r="H58" s="17" t="n">
        <v>240</v>
      </c>
      <c r="I58" s="6" t="n">
        <v>0</v>
      </c>
      <c r="J58" s="17" t="n">
        <v>0</v>
      </c>
      <c r="K58" s="17" t="n">
        <v>240</v>
      </c>
      <c r="L58" s="17" t="n">
        <v>0</v>
      </c>
      <c r="M58" s="17">
        <f>G58+J58</f>
        <v/>
      </c>
      <c r="N58" s="17">
        <f>O58/M58</f>
        <v/>
      </c>
      <c r="O58" s="17">
        <f>I58+L58</f>
        <v/>
      </c>
    </row>
    <row r="59" ht="14.25" customHeight="1" s="3">
      <c r="A59" s="6" t="n">
        <v>56</v>
      </c>
      <c r="B59" s="14" t="inlineStr">
        <is>
          <t>030013</t>
        </is>
      </c>
      <c r="C59" s="15" t="inlineStr">
        <is>
          <t>易耗类</t>
        </is>
      </c>
      <c r="D59" s="16" t="inlineStr">
        <is>
          <t>内托</t>
        </is>
      </c>
      <c r="E59" s="16" t="inlineStr">
        <is>
          <t>150个/件</t>
        </is>
      </c>
      <c r="F59" s="16" t="inlineStr">
        <is>
          <t>件[1件=150个]</t>
        </is>
      </c>
      <c r="G59" s="6" t="n">
        <v>5</v>
      </c>
      <c r="H59" s="17" t="n">
        <v>47.25</v>
      </c>
      <c r="I59" s="6" t="n">
        <v>236.25</v>
      </c>
      <c r="J59" s="17">
        <f>10+1</f>
        <v/>
      </c>
      <c r="K59" s="17" t="n">
        <v>47.25</v>
      </c>
      <c r="L59" s="17">
        <f>472.5+47.25</f>
        <v/>
      </c>
      <c r="M59" s="17">
        <f>G59+J59</f>
        <v/>
      </c>
      <c r="N59" s="17">
        <f>O59/M59</f>
        <v/>
      </c>
      <c r="O59" s="17">
        <f>I59+L59</f>
        <v/>
      </c>
    </row>
    <row r="60" ht="28.5" customHeight="1" s="3">
      <c r="A60" s="6" t="n">
        <v>57</v>
      </c>
      <c r="B60" s="14" t="inlineStr">
        <is>
          <t>030016</t>
        </is>
      </c>
      <c r="C60" s="15" t="inlineStr">
        <is>
          <t>易耗类</t>
        </is>
      </c>
      <c r="D60" s="16" t="inlineStr">
        <is>
          <t>白色圆形塑料盒盖子+膜内贴</t>
        </is>
      </c>
      <c r="E60" s="16" t="inlineStr">
        <is>
          <t>300个/件</t>
        </is>
      </c>
      <c r="F60" s="16" t="inlineStr">
        <is>
          <t>件[1件=300个]</t>
        </is>
      </c>
      <c r="G60" s="6" t="n">
        <v>3</v>
      </c>
      <c r="H60" s="17" t="n">
        <v>141.75</v>
      </c>
      <c r="I60" s="6" t="n">
        <v>425.25</v>
      </c>
      <c r="J60" s="17">
        <f>5+200/300</f>
        <v/>
      </c>
      <c r="K60" s="17" t="n">
        <v>141.75</v>
      </c>
      <c r="L60" s="17">
        <f>708.75+94.5</f>
        <v/>
      </c>
      <c r="M60" s="17">
        <f>G60+J60</f>
        <v/>
      </c>
      <c r="N60" s="17">
        <f>O60/M60</f>
        <v/>
      </c>
      <c r="O60" s="17">
        <f>I60+L60</f>
        <v/>
      </c>
    </row>
    <row r="61" ht="28.5" customHeight="1" s="3">
      <c r="A61" s="6" t="n">
        <v>58</v>
      </c>
      <c r="B61" s="14" t="inlineStr">
        <is>
          <t>030017</t>
        </is>
      </c>
      <c r="C61" s="15" t="inlineStr">
        <is>
          <t>易耗类</t>
        </is>
      </c>
      <c r="D61" s="16" t="inlineStr">
        <is>
          <t>酸奶豆花打包盒（配盖）</t>
        </is>
      </c>
      <c r="E61" s="16" t="inlineStr">
        <is>
          <t>1000个/件</t>
        </is>
      </c>
      <c r="F61" s="16" t="inlineStr">
        <is>
          <t>件[1件=1000个]</t>
        </is>
      </c>
      <c r="G61" s="6" t="n">
        <v>0.7</v>
      </c>
      <c r="H61" s="17" t="n">
        <v>294</v>
      </c>
      <c r="I61" s="6" t="n">
        <v>205.8</v>
      </c>
      <c r="J61" s="17" t="n">
        <v>0</v>
      </c>
      <c r="K61" s="17" t="n">
        <v>294</v>
      </c>
      <c r="L61" s="17" t="n">
        <v>0</v>
      </c>
      <c r="M61" s="17">
        <f>G61+J61</f>
        <v/>
      </c>
      <c r="N61" s="17">
        <f>O61/M61</f>
        <v/>
      </c>
      <c r="O61" s="17">
        <f>I61+L61</f>
        <v/>
      </c>
    </row>
    <row r="62" ht="33" customHeight="1" s="3">
      <c r="A62" s="6" t="n">
        <v>59</v>
      </c>
      <c r="B62" s="21" t="inlineStr">
        <is>
          <t>030017A</t>
        </is>
      </c>
      <c r="C62" s="13" t="inlineStr">
        <is>
          <t>易耗类</t>
        </is>
      </c>
      <c r="D62" s="22" t="inlineStr">
        <is>
          <t>白色圆形塑料拌粉盒（850）</t>
        </is>
      </c>
      <c r="E62" s="16" t="inlineStr">
        <is>
          <t>300个/件</t>
        </is>
      </c>
      <c r="F62" s="16" t="inlineStr">
        <is>
          <t>件</t>
        </is>
      </c>
      <c r="G62" s="6" t="n">
        <v>1</v>
      </c>
      <c r="H62" s="17" t="n">
        <v>182.7</v>
      </c>
      <c r="I62" s="6" t="n">
        <v>182.7</v>
      </c>
      <c r="J62" s="17" t="n">
        <v>0</v>
      </c>
      <c r="K62" s="17" t="n">
        <v>182.7</v>
      </c>
      <c r="L62" s="17" t="n">
        <v>0</v>
      </c>
      <c r="M62" s="17">
        <f>G62+J62</f>
        <v/>
      </c>
      <c r="N62" s="17">
        <f>O62/M62</f>
        <v/>
      </c>
      <c r="O62" s="17">
        <f>I62+L62</f>
        <v/>
      </c>
    </row>
    <row r="63" ht="14.25" customHeight="1" s="3">
      <c r="A63" s="6" t="n">
        <v>60</v>
      </c>
      <c r="B63" s="14" t="inlineStr">
        <is>
          <t>030021</t>
        </is>
      </c>
      <c r="C63" s="15" t="inlineStr">
        <is>
          <t>易耗类</t>
        </is>
      </c>
      <c r="D63" s="16" t="inlineStr">
        <is>
          <t>粉小主9A纸杯</t>
        </is>
      </c>
      <c r="E63" s="16" t="inlineStr">
        <is>
          <t>2000个/件</t>
        </is>
      </c>
      <c r="F63" s="16" t="inlineStr">
        <is>
          <t>件[1件=2000个]</t>
        </is>
      </c>
      <c r="G63" s="6" t="n">
        <v>1.3</v>
      </c>
      <c r="H63" s="17" t="n">
        <v>252</v>
      </c>
      <c r="I63" s="6" t="n">
        <v>327.6</v>
      </c>
      <c r="J63" s="17" t="n">
        <v>1</v>
      </c>
      <c r="K63" s="17" t="n">
        <v>252</v>
      </c>
      <c r="L63" s="17" t="n">
        <v>252</v>
      </c>
      <c r="M63" s="17">
        <f>G63+J63</f>
        <v/>
      </c>
      <c r="N63" s="17">
        <f>O63/M63</f>
        <v/>
      </c>
      <c r="O63" s="17">
        <f>I63+L63</f>
        <v/>
      </c>
    </row>
    <row r="64" ht="28.5" customHeight="1" s="3">
      <c r="A64" s="6" t="n">
        <v>61</v>
      </c>
      <c r="B64" s="14" t="inlineStr">
        <is>
          <t>030022</t>
        </is>
      </c>
      <c r="C64" s="15" t="inlineStr">
        <is>
          <t>易耗类</t>
        </is>
      </c>
      <c r="D64" s="16" t="inlineStr">
        <is>
          <t>25.5*40.5大号打包袋（光氧降解）</t>
        </is>
      </c>
      <c r="E64" s="16" t="inlineStr">
        <is>
          <t>5000个/件</t>
        </is>
      </c>
      <c r="F64" s="16" t="inlineStr">
        <is>
          <t>件[1件=5000个]</t>
        </is>
      </c>
      <c r="G64" s="23" t="n">
        <v>0</v>
      </c>
      <c r="H64" s="17" t="n">
        <v>1522.5</v>
      </c>
      <c r="I64" s="6" t="n">
        <v>0</v>
      </c>
      <c r="J64" s="17" t="n">
        <v>0</v>
      </c>
      <c r="K64" s="17" t="n">
        <v>1522.5</v>
      </c>
      <c r="L64" s="17" t="n">
        <v>0</v>
      </c>
      <c r="M64" s="17">
        <f>G64+J64</f>
        <v/>
      </c>
      <c r="N64" s="17">
        <f>O64/M64</f>
        <v/>
      </c>
      <c r="O64" s="17">
        <f>I64+L64</f>
        <v/>
      </c>
    </row>
    <row r="65" ht="14.25" customHeight="1" s="3">
      <c r="A65" s="6" t="n">
        <v>62</v>
      </c>
      <c r="B65" s="14" t="inlineStr">
        <is>
          <t>030027</t>
        </is>
      </c>
      <c r="C65" s="15" t="inlineStr">
        <is>
          <t>易耗类</t>
        </is>
      </c>
      <c r="D65" s="16" t="inlineStr">
        <is>
          <t>菜单</t>
        </is>
      </c>
      <c r="E65" s="16" t="inlineStr">
        <is>
          <t>1000张/套</t>
        </is>
      </c>
      <c r="F65" s="16" t="inlineStr">
        <is>
          <t>包</t>
        </is>
      </c>
      <c r="G65" s="6" t="n">
        <v>0</v>
      </c>
      <c r="H65" s="17" t="n">
        <v>0</v>
      </c>
      <c r="I65" s="6" t="n">
        <v>0</v>
      </c>
      <c r="J65" s="17" t="n">
        <v>0</v>
      </c>
      <c r="K65" s="17" t="n">
        <v>0</v>
      </c>
      <c r="L65" s="17" t="n">
        <v>0</v>
      </c>
      <c r="M65" s="17">
        <f>G65+J65</f>
        <v/>
      </c>
      <c r="N65" s="17">
        <f>O65/M65</f>
        <v/>
      </c>
      <c r="O65" s="17">
        <f>I65+L65</f>
        <v/>
      </c>
    </row>
    <row r="66" ht="14.25" customHeight="1" s="3">
      <c r="A66" s="6" t="n">
        <v>63</v>
      </c>
      <c r="B66" s="109" t="inlineStr">
        <is>
          <t>010215</t>
        </is>
      </c>
      <c r="C66" s="15" t="inlineStr">
        <is>
          <t>食品类</t>
        </is>
      </c>
      <c r="D66" s="16" t="inlineStr">
        <is>
          <t>香辣脆</t>
        </is>
      </c>
      <c r="E66" s="16" t="inlineStr">
        <is>
          <t>2.5kg/包5包/件</t>
        </is>
      </c>
      <c r="F66" s="16" t="inlineStr">
        <is>
          <t>包</t>
        </is>
      </c>
      <c r="G66" s="6" t="n">
        <v>0</v>
      </c>
      <c r="H66" s="17" t="n">
        <v>54.81</v>
      </c>
      <c r="I66" s="6" t="n">
        <v>0</v>
      </c>
      <c r="J66" s="17" t="n">
        <v>0</v>
      </c>
      <c r="K66" s="17" t="n">
        <v>54.81</v>
      </c>
      <c r="L66" s="17" t="n">
        <v>0</v>
      </c>
      <c r="M66" s="17">
        <f>G66+J66</f>
        <v/>
      </c>
      <c r="N66" s="17">
        <f>O66/M66</f>
        <v/>
      </c>
      <c r="O66" s="17">
        <f>I66+L66</f>
        <v/>
      </c>
    </row>
    <row r="67" ht="14.25" customHeight="1" s="3">
      <c r="A67" s="6" t="n">
        <v>64</v>
      </c>
      <c r="B67" s="109" t="inlineStr">
        <is>
          <t>030006</t>
        </is>
      </c>
      <c r="C67" s="15" t="inlineStr">
        <is>
          <t>易耗类</t>
        </is>
      </c>
      <c r="D67" s="16" t="inlineStr">
        <is>
          <t>筷子套</t>
        </is>
      </c>
      <c r="E67" s="16" t="inlineStr">
        <is>
          <t>30000个/件</t>
        </is>
      </c>
      <c r="F67" s="16" t="inlineStr">
        <is>
          <t>件</t>
        </is>
      </c>
      <c r="G67" s="6" t="n">
        <v>1</v>
      </c>
      <c r="H67" s="17" t="n">
        <v>1417.5</v>
      </c>
      <c r="I67" s="6" t="n">
        <v>1417.5</v>
      </c>
      <c r="J67" s="17" t="n">
        <v>0</v>
      </c>
      <c r="K67" s="17" t="n">
        <v>1417.5</v>
      </c>
      <c r="L67" s="17" t="n">
        <v>0</v>
      </c>
      <c r="M67" s="17">
        <f>G67+J67</f>
        <v/>
      </c>
      <c r="N67" s="17">
        <f>O67/M67</f>
        <v/>
      </c>
      <c r="O67" s="17">
        <f>I67+L67</f>
        <v/>
      </c>
    </row>
    <row r="68" ht="14.25" customHeight="1" s="3">
      <c r="A68" s="6" t="n">
        <v>65</v>
      </c>
      <c r="B68" s="109" t="inlineStr">
        <is>
          <t>010228</t>
        </is>
      </c>
      <c r="C68" s="15" t="inlineStr">
        <is>
          <t>食品类</t>
        </is>
      </c>
      <c r="D68" s="16" t="inlineStr">
        <is>
          <t>新油辣椒</t>
        </is>
      </c>
      <c r="E68" s="16" t="inlineStr">
        <is>
          <t>2.5kg/包*6包/件</t>
        </is>
      </c>
      <c r="F68" s="16" t="inlineStr">
        <is>
          <t>包</t>
        </is>
      </c>
      <c r="G68" s="6" t="n">
        <v>1</v>
      </c>
      <c r="H68" s="17" t="n">
        <v>73.5</v>
      </c>
      <c r="I68" s="6" t="n">
        <v>73.5</v>
      </c>
      <c r="J68" s="17" t="n">
        <v>0</v>
      </c>
      <c r="K68" s="17" t="n">
        <v>73.5</v>
      </c>
      <c r="L68" s="17" t="n">
        <v>0</v>
      </c>
      <c r="M68" s="17">
        <f>G68+J68</f>
        <v/>
      </c>
      <c r="N68" s="17">
        <f>O68/M68</f>
        <v/>
      </c>
      <c r="O68" s="17">
        <f>I68+L68</f>
        <v/>
      </c>
    </row>
    <row r="69" ht="14.25" customHeight="1" s="3">
      <c r="A69" s="6" t="n">
        <v>66</v>
      </c>
      <c r="B69" s="109" t="inlineStr">
        <is>
          <t>010230</t>
        </is>
      </c>
      <c r="C69" s="15" t="inlineStr">
        <is>
          <t>食品类</t>
        </is>
      </c>
      <c r="D69" s="16" t="inlineStr">
        <is>
          <t>杨梅汁</t>
        </is>
      </c>
      <c r="E69" s="16" t="inlineStr">
        <is>
          <t>260ML/瓶</t>
        </is>
      </c>
      <c r="F69" s="16" t="inlineStr">
        <is>
          <t>件</t>
        </is>
      </c>
      <c r="G69" s="6" t="n">
        <v>2</v>
      </c>
      <c r="H69" s="17" t="n">
        <v>105</v>
      </c>
      <c r="I69" s="6" t="n">
        <v>210</v>
      </c>
      <c r="J69" s="17" t="n">
        <v>3</v>
      </c>
      <c r="K69" s="17" t="n">
        <v>105</v>
      </c>
      <c r="L69" s="17" t="n">
        <v>315</v>
      </c>
      <c r="M69" s="17">
        <f>G69+J69</f>
        <v/>
      </c>
      <c r="N69" s="17">
        <f>O69/M69</f>
        <v/>
      </c>
      <c r="O69" s="17">
        <f>I69+L69</f>
        <v/>
      </c>
    </row>
    <row r="70" ht="14.25" customHeight="1" s="3">
      <c r="A70" s="6" t="n">
        <v>67</v>
      </c>
      <c r="B70" s="14" t="inlineStr">
        <is>
          <t>020010</t>
        </is>
      </c>
      <c r="C70" s="15" t="inlineStr">
        <is>
          <t>易耗类</t>
        </is>
      </c>
      <c r="D70" s="16" t="inlineStr">
        <is>
          <t>28鸡翅木筷</t>
        </is>
      </c>
      <c r="E70" s="16" t="inlineStr">
        <is>
          <t>28CM</t>
        </is>
      </c>
      <c r="F70" s="16" t="inlineStr">
        <is>
          <t>双</t>
        </is>
      </c>
      <c r="G70" s="6" t="n">
        <v>0</v>
      </c>
      <c r="H70" s="17" t="n">
        <v>0</v>
      </c>
      <c r="I70" s="6" t="n">
        <v>0</v>
      </c>
      <c r="J70" s="17" t="n">
        <v>0</v>
      </c>
      <c r="K70" s="17" t="n">
        <v>0</v>
      </c>
      <c r="L70" s="17" t="n">
        <v>0</v>
      </c>
      <c r="M70" s="17">
        <f>G70+J70</f>
        <v/>
      </c>
      <c r="N70" s="17">
        <f>O70/M70</f>
        <v/>
      </c>
      <c r="O70" s="17">
        <f>I70+L70</f>
        <v/>
      </c>
    </row>
    <row r="71" ht="28.5" customHeight="1" s="3">
      <c r="A71" s="6" t="n">
        <v>68</v>
      </c>
      <c r="B71" s="14" t="inlineStr">
        <is>
          <t>030012A</t>
        </is>
      </c>
      <c r="C71" s="15" t="inlineStr">
        <is>
          <t>易耗类</t>
        </is>
      </c>
      <c r="D71" s="16" t="inlineStr">
        <is>
          <t>粉小主450小吃打包盒</t>
        </is>
      </c>
      <c r="E71" s="16" t="inlineStr">
        <is>
          <t>300个/件</t>
        </is>
      </c>
      <c r="F71" s="16" t="inlineStr">
        <is>
          <t>件[1件=300个]</t>
        </is>
      </c>
      <c r="G71" s="23" t="n">
        <v>1</v>
      </c>
      <c r="H71" s="17" t="n">
        <v>630</v>
      </c>
      <c r="I71" s="6" t="n">
        <v>630</v>
      </c>
      <c r="J71" s="17" t="n">
        <v>0</v>
      </c>
      <c r="K71" s="17" t="n">
        <v>630</v>
      </c>
      <c r="L71" s="17" t="n">
        <v>0</v>
      </c>
      <c r="M71" s="17">
        <f>G71+J71</f>
        <v/>
      </c>
      <c r="N71" s="17">
        <f>O71/M71</f>
        <v/>
      </c>
      <c r="O71" s="17">
        <f>I71+L71</f>
        <v/>
      </c>
    </row>
    <row r="72" ht="14.25" customHeight="1" s="3">
      <c r="A72" s="6" t="n">
        <v>69</v>
      </c>
      <c r="B72" s="109" t="inlineStr">
        <is>
          <t>010231</t>
        </is>
      </c>
      <c r="C72" s="15" t="inlineStr">
        <is>
          <t>食品类</t>
        </is>
      </c>
      <c r="D72" s="16" t="inlineStr">
        <is>
          <t>酥脆一口香</t>
        </is>
      </c>
      <c r="E72" s="16" t="inlineStr">
        <is>
          <t>500g/包*10包/件</t>
        </is>
      </c>
      <c r="F72" s="16" t="inlineStr">
        <is>
          <t>件</t>
        </is>
      </c>
      <c r="G72" s="6" t="n">
        <v>0</v>
      </c>
      <c r="H72" s="17" t="n">
        <v>241.5</v>
      </c>
      <c r="I72" s="6" t="n">
        <v>0</v>
      </c>
      <c r="J72" s="17" t="n">
        <v>3.5</v>
      </c>
      <c r="K72" s="17" t="n">
        <v>241.5</v>
      </c>
      <c r="L72" s="17" t="n">
        <v>845.25</v>
      </c>
      <c r="M72" s="17">
        <f>G72+J72</f>
        <v/>
      </c>
      <c r="N72" s="17">
        <f>O72/M72</f>
        <v/>
      </c>
      <c r="O72" s="17">
        <f>I72+L72</f>
        <v/>
      </c>
    </row>
    <row r="73" ht="14.25" customHeight="1" s="3">
      <c r="A73" s="6" t="n">
        <v>70</v>
      </c>
      <c r="B73" s="109" t="inlineStr">
        <is>
          <t>010140</t>
        </is>
      </c>
      <c r="C73" s="15" t="inlineStr">
        <is>
          <t>食品类</t>
        </is>
      </c>
      <c r="D73" s="16" t="inlineStr">
        <is>
          <t>油炸平菇</t>
        </is>
      </c>
      <c r="E73" s="16" t="inlineStr">
        <is>
          <t>1Kg/包*10包/件</t>
        </is>
      </c>
      <c r="F73" s="16" t="inlineStr">
        <is>
          <t>件</t>
        </is>
      </c>
      <c r="G73" s="6" t="n">
        <v>0</v>
      </c>
      <c r="H73" s="17" t="n">
        <v>0</v>
      </c>
      <c r="I73" s="6" t="n">
        <v>0</v>
      </c>
      <c r="J73" s="17" t="n">
        <v>0</v>
      </c>
      <c r="K73" s="17" t="n">
        <v>0</v>
      </c>
      <c r="L73" s="17" t="n">
        <v>0</v>
      </c>
      <c r="M73" s="17">
        <f>G73+J73</f>
        <v/>
      </c>
      <c r="N73" s="17">
        <f>O73/M73</f>
        <v/>
      </c>
      <c r="O73" s="17">
        <f>I73+L73</f>
        <v/>
      </c>
    </row>
    <row r="74" ht="14.25" customHeight="1" s="3">
      <c r="A74" s="6" t="n">
        <v>71</v>
      </c>
      <c r="B74" s="109" t="inlineStr">
        <is>
          <t>010089</t>
        </is>
      </c>
      <c r="C74" s="15" t="inlineStr">
        <is>
          <t>食品类</t>
        </is>
      </c>
      <c r="D74" s="16" t="inlineStr">
        <is>
          <t>水天堂黑鱼片</t>
        </is>
      </c>
      <c r="E74" s="16" t="inlineStr">
        <is>
          <t>1.5Kg/包*8包/件</t>
        </is>
      </c>
      <c r="F74" s="16" t="inlineStr">
        <is>
          <t>件</t>
        </is>
      </c>
      <c r="G74" s="6" t="n">
        <v>0</v>
      </c>
      <c r="H74" s="17" t="n">
        <v>504</v>
      </c>
      <c r="I74" s="6" t="n">
        <v>0</v>
      </c>
      <c r="J74" s="17" t="n">
        <v>0</v>
      </c>
      <c r="K74" s="17" t="n">
        <v>504</v>
      </c>
      <c r="L74" s="17" t="n">
        <v>0</v>
      </c>
      <c r="M74" s="17">
        <f>G74+J74</f>
        <v/>
      </c>
      <c r="N74" s="17">
        <f>O74/M74</f>
        <v/>
      </c>
      <c r="O74" s="17">
        <f>I74+L74</f>
        <v/>
      </c>
    </row>
    <row r="75" ht="14.25" customHeight="1" s="3">
      <c r="A75" s="6" t="n">
        <v>72</v>
      </c>
      <c r="B75" s="109" t="inlineStr">
        <is>
          <t>010083</t>
        </is>
      </c>
      <c r="C75" s="15" t="inlineStr">
        <is>
          <t>食品类</t>
        </is>
      </c>
      <c r="D75" s="16" t="inlineStr">
        <is>
          <t>台湾卤肉</t>
        </is>
      </c>
      <c r="E75" s="16" t="inlineStr">
        <is>
          <t>150g/包*60包/件</t>
        </is>
      </c>
      <c r="F75" s="16" t="inlineStr">
        <is>
          <t>件</t>
        </is>
      </c>
      <c r="G75" s="6" t="n">
        <v>0</v>
      </c>
      <c r="H75" s="17" t="n">
        <v>415.8</v>
      </c>
      <c r="I75" s="6" t="n">
        <v>0</v>
      </c>
      <c r="J75" s="17" t="n">
        <v>0.6654</v>
      </c>
      <c r="K75" s="17" t="n">
        <v>415.795010519988</v>
      </c>
      <c r="L75" s="17" t="n">
        <v>276.67</v>
      </c>
      <c r="M75" s="17">
        <f>G75+J75</f>
        <v/>
      </c>
      <c r="N75" s="17">
        <f>O75/M75</f>
        <v/>
      </c>
      <c r="O75" s="17">
        <f>I75+L75</f>
        <v/>
      </c>
    </row>
    <row r="76" ht="14.25" customHeight="1" s="3">
      <c r="A76" s="6" t="n">
        <v>73</v>
      </c>
      <c r="B76" s="109" t="inlineStr">
        <is>
          <t>010121</t>
        </is>
      </c>
      <c r="C76" s="15" t="inlineStr">
        <is>
          <t>食品类</t>
        </is>
      </c>
      <c r="D76" s="16" t="inlineStr">
        <is>
          <t>小叶酸菜</t>
        </is>
      </c>
      <c r="E76" s="16" t="inlineStr">
        <is>
          <t>1Kg/包*12包/件</t>
        </is>
      </c>
      <c r="F76" s="16" t="inlineStr">
        <is>
          <t>件</t>
        </is>
      </c>
      <c r="G76" s="6" t="n">
        <v>0.416666666666667</v>
      </c>
      <c r="H76" s="17" t="n">
        <v>195.3</v>
      </c>
      <c r="I76" s="6" t="n">
        <v>81.375</v>
      </c>
      <c r="J76" s="17" t="n">
        <v>0</v>
      </c>
      <c r="K76" s="17" t="n">
        <v>195.3</v>
      </c>
      <c r="L76" s="17" t="n">
        <v>0</v>
      </c>
      <c r="M76" s="17">
        <f>G76+J76</f>
        <v/>
      </c>
      <c r="N76" s="17">
        <f>O76/M76</f>
        <v/>
      </c>
      <c r="O76" s="17">
        <f>I76+L76</f>
        <v/>
      </c>
    </row>
    <row r="77" ht="14.25" customHeight="1" s="3">
      <c r="A77" s="6" t="n">
        <v>74</v>
      </c>
      <c r="B77" s="109" t="inlineStr">
        <is>
          <t>010180</t>
        </is>
      </c>
      <c r="C77" s="15" t="inlineStr">
        <is>
          <t>食品类</t>
        </is>
      </c>
      <c r="D77" s="16" t="inlineStr">
        <is>
          <t>西米</t>
        </is>
      </c>
      <c r="E77" s="16" t="inlineStr">
        <is>
          <t>900g/瓶*12瓶/件</t>
        </is>
      </c>
      <c r="F77" s="16" t="inlineStr">
        <is>
          <t>瓶</t>
        </is>
      </c>
      <c r="G77" s="6" t="n">
        <v>0</v>
      </c>
      <c r="H77" s="17" t="n">
        <v>16.275</v>
      </c>
      <c r="I77" s="6" t="n">
        <v>0</v>
      </c>
      <c r="J77" s="17" t="n">
        <v>0</v>
      </c>
      <c r="K77" s="17" t="n">
        <v>16.275</v>
      </c>
      <c r="L77" s="17" t="n">
        <v>0</v>
      </c>
      <c r="M77" s="17">
        <f>G77+J77</f>
        <v/>
      </c>
      <c r="N77" s="17">
        <f>O77/M77</f>
        <v/>
      </c>
      <c r="O77" s="17">
        <f>I77+L77</f>
        <v/>
      </c>
    </row>
    <row r="78" ht="14.25" customHeight="1" s="3">
      <c r="A78" s="6" t="n">
        <v>75</v>
      </c>
      <c r="B78" s="109" t="inlineStr">
        <is>
          <t>010233</t>
        </is>
      </c>
      <c r="C78" s="15" t="inlineStr">
        <is>
          <t>食品类</t>
        </is>
      </c>
      <c r="D78" s="16" t="inlineStr">
        <is>
          <t>红西柚果粒</t>
        </is>
      </c>
      <c r="E78" s="16" t="inlineStr">
        <is>
          <t>950g/瓶*15瓶/件</t>
        </is>
      </c>
      <c r="F78" s="16" t="inlineStr">
        <is>
          <t>瓶</t>
        </is>
      </c>
      <c r="G78" s="6" t="n">
        <v>0</v>
      </c>
      <c r="H78" s="17" t="n">
        <v>27.3</v>
      </c>
      <c r="I78" s="6" t="n">
        <v>0</v>
      </c>
      <c r="J78" s="17" t="n">
        <v>0</v>
      </c>
      <c r="K78" s="17" t="n">
        <v>27.3</v>
      </c>
      <c r="L78" s="17" t="n">
        <v>0</v>
      </c>
      <c r="M78" s="17">
        <f>G78+J78</f>
        <v/>
      </c>
      <c r="N78" s="17">
        <f>O78/M78</f>
        <v/>
      </c>
      <c r="O78" s="17">
        <f>I78+L78</f>
        <v/>
      </c>
    </row>
    <row r="79" ht="28.5" customHeight="1" s="3">
      <c r="A79" s="6" t="n">
        <v>76</v>
      </c>
      <c r="B79" s="109" t="inlineStr">
        <is>
          <t>010168</t>
        </is>
      </c>
      <c r="C79" s="15" t="inlineStr">
        <is>
          <t>食品类</t>
        </is>
      </c>
      <c r="D79" s="16" t="inlineStr">
        <is>
          <t>冷冻芒果汁</t>
        </is>
      </c>
      <c r="E79" s="16" t="inlineStr">
        <is>
          <t>240ML/瓶*24瓶/件</t>
        </is>
      </c>
      <c r="F79" s="16" t="inlineStr">
        <is>
          <t>瓶</t>
        </is>
      </c>
      <c r="G79" s="6" t="n">
        <v>0</v>
      </c>
      <c r="H79" s="17" t="n">
        <v>22</v>
      </c>
      <c r="I79" s="6" t="n">
        <v>0</v>
      </c>
      <c r="J79" s="17" t="n">
        <v>0</v>
      </c>
      <c r="K79" s="17" t="n">
        <v>22</v>
      </c>
      <c r="L79" s="17" t="n">
        <v>0</v>
      </c>
      <c r="M79" s="17">
        <f>G79+J79</f>
        <v/>
      </c>
      <c r="N79" s="17">
        <f>O79/M79</f>
        <v/>
      </c>
      <c r="O79" s="17">
        <f>I79+L79</f>
        <v/>
      </c>
    </row>
    <row r="80" ht="14.25" customHeight="1" s="3">
      <c r="A80" s="6" t="n">
        <v>77</v>
      </c>
      <c r="B80" s="109" t="inlineStr">
        <is>
          <t>010022</t>
        </is>
      </c>
      <c r="C80" s="15" t="inlineStr">
        <is>
          <t>食品类</t>
        </is>
      </c>
      <c r="D80" s="16" t="inlineStr">
        <is>
          <t>聊撇杨梅汁</t>
        </is>
      </c>
      <c r="E80" s="16" t="inlineStr">
        <is>
          <t>950g/瓶*15瓶/件</t>
        </is>
      </c>
      <c r="F80" s="16" t="inlineStr">
        <is>
          <t>件</t>
        </is>
      </c>
      <c r="G80" s="23" t="n">
        <v>0</v>
      </c>
      <c r="H80" s="17" t="n">
        <v>0</v>
      </c>
      <c r="I80" s="6" t="n">
        <v>0</v>
      </c>
      <c r="J80" s="17" t="n">
        <v>0</v>
      </c>
      <c r="K80" s="17" t="n">
        <v>0</v>
      </c>
      <c r="L80" s="17" t="n">
        <v>0</v>
      </c>
      <c r="M80" s="17">
        <f>G80+J80</f>
        <v/>
      </c>
      <c r="N80" s="17">
        <f>O80/M80</f>
        <v/>
      </c>
      <c r="O80" s="17">
        <f>I80+L80</f>
        <v/>
      </c>
    </row>
    <row r="81" ht="14.25" customHeight="1" s="3">
      <c r="A81" s="6" t="n">
        <v>78</v>
      </c>
      <c r="B81" s="109" t="inlineStr">
        <is>
          <t>010232</t>
        </is>
      </c>
      <c r="C81" s="15" t="inlineStr">
        <is>
          <t>食品类</t>
        </is>
      </c>
      <c r="D81" s="16" t="inlineStr">
        <is>
          <t>猪肉卷章</t>
        </is>
      </c>
      <c r="E81" s="16" t="inlineStr">
        <is>
          <t>500g/包*20包/件</t>
        </is>
      </c>
      <c r="F81" s="16" t="inlineStr">
        <is>
          <t>件</t>
        </is>
      </c>
      <c r="G81" s="6" t="n">
        <v>0.1</v>
      </c>
      <c r="H81" s="17" t="n">
        <v>378</v>
      </c>
      <c r="I81" s="6" t="n">
        <v>37.8</v>
      </c>
      <c r="J81" s="17" t="n">
        <v>0</v>
      </c>
      <c r="K81" s="17" t="n">
        <v>378</v>
      </c>
      <c r="L81" s="17" t="n">
        <v>0</v>
      </c>
      <c r="M81" s="17">
        <f>G81+J81</f>
        <v/>
      </c>
      <c r="N81" s="17">
        <f>O81/M81</f>
        <v/>
      </c>
      <c r="O81" s="17">
        <f>I81+L81</f>
        <v/>
      </c>
    </row>
    <row r="82" ht="14.25" customHeight="1" s="3">
      <c r="A82" s="6" t="n">
        <v>79</v>
      </c>
      <c r="B82" s="109" t="inlineStr">
        <is>
          <t>010191</t>
        </is>
      </c>
      <c r="C82" s="15" t="inlineStr">
        <is>
          <t>食品类</t>
        </is>
      </c>
      <c r="D82" s="16" t="inlineStr">
        <is>
          <t>脆皮豆腐</t>
        </is>
      </c>
      <c r="E82" s="16" t="inlineStr">
        <is>
          <t>1Kg/包*4包/件</t>
        </is>
      </c>
      <c r="F82" s="16" t="inlineStr">
        <is>
          <t>包</t>
        </is>
      </c>
      <c r="G82" s="6" t="n">
        <v>0</v>
      </c>
      <c r="H82" s="17" t="n">
        <v>0</v>
      </c>
      <c r="I82" s="6" t="n">
        <v>0</v>
      </c>
      <c r="J82" s="17" t="n">
        <v>0</v>
      </c>
      <c r="K82" s="17" t="n">
        <v>0</v>
      </c>
      <c r="L82" s="17" t="n">
        <v>0</v>
      </c>
      <c r="M82" s="17">
        <f>G82+J82</f>
        <v/>
      </c>
      <c r="N82" s="17">
        <f>O82/M82</f>
        <v/>
      </c>
      <c r="O82" s="17">
        <f>I82+L82</f>
        <v/>
      </c>
    </row>
    <row r="83" ht="16.5" customHeight="1" s="3">
      <c r="A83" s="6" t="n">
        <v>80</v>
      </c>
      <c r="B83" s="104" t="inlineStr">
        <is>
          <t>010161</t>
        </is>
      </c>
      <c r="C83" s="13" t="inlineStr">
        <is>
          <t>食品类</t>
        </is>
      </c>
      <c r="D83" s="22" t="inlineStr">
        <is>
          <t>双皮奶粉</t>
        </is>
      </c>
      <c r="E83" s="16" t="n"/>
      <c r="F83" s="21" t="inlineStr">
        <is>
          <t>包</t>
        </is>
      </c>
      <c r="G83" s="6" t="n">
        <v>3</v>
      </c>
      <c r="H83" s="17" t="n">
        <v>38.85</v>
      </c>
      <c r="I83" s="6" t="n">
        <v>116.55</v>
      </c>
      <c r="J83" s="17" t="n">
        <v>0</v>
      </c>
      <c r="K83" s="17" t="n">
        <v>38.85</v>
      </c>
      <c r="L83" s="17" t="n">
        <v>0</v>
      </c>
      <c r="M83" s="17">
        <f>G83+J83</f>
        <v/>
      </c>
      <c r="N83" s="17">
        <f>O83/M83</f>
        <v/>
      </c>
      <c r="O83" s="17">
        <f>I83+L83</f>
        <v/>
      </c>
    </row>
    <row r="84" ht="16.5" customHeight="1" s="3">
      <c r="A84" s="6" t="n">
        <v>81</v>
      </c>
      <c r="B84" s="110" t="inlineStr">
        <is>
          <t>010229</t>
        </is>
      </c>
      <c r="C84" s="13" t="inlineStr">
        <is>
          <t>食品类</t>
        </is>
      </c>
      <c r="D84" s="22" t="inlineStr">
        <is>
          <t>新香辣脆</t>
        </is>
      </c>
      <c r="E84" s="16" t="n"/>
      <c r="F84" s="21" t="inlineStr">
        <is>
          <t>包</t>
        </is>
      </c>
      <c r="G84" s="6" t="n">
        <v>10</v>
      </c>
      <c r="H84" s="17" t="n">
        <v>54.81</v>
      </c>
      <c r="I84" s="6" t="n">
        <v>548.1</v>
      </c>
      <c r="J84" s="17" t="n">
        <v>4</v>
      </c>
      <c r="K84" s="17" t="n">
        <v>54.81</v>
      </c>
      <c r="L84" s="17" t="n">
        <v>219.24</v>
      </c>
      <c r="M84" s="17">
        <f>G84+J84</f>
        <v/>
      </c>
      <c r="N84" s="17">
        <f>O84/M84</f>
        <v/>
      </c>
      <c r="O84" s="17">
        <f>I84+L84</f>
        <v/>
      </c>
    </row>
    <row r="85" ht="14.25" customHeight="1" s="3">
      <c r="A85" s="6" t="n">
        <v>82</v>
      </c>
      <c r="B85" s="109" t="inlineStr">
        <is>
          <t>010235</t>
        </is>
      </c>
      <c r="C85" s="15" t="inlineStr">
        <is>
          <t>食品类</t>
        </is>
      </c>
      <c r="D85" s="15" t="inlineStr">
        <is>
          <t>油豆腐片</t>
        </is>
      </c>
      <c r="E85" s="25" t="inlineStr">
        <is>
          <t>1.5kg/包*10包/件</t>
        </is>
      </c>
      <c r="F85" s="15" t="inlineStr">
        <is>
          <t>件[1件=10包]</t>
        </is>
      </c>
      <c r="G85" s="6" t="n">
        <v>0.2</v>
      </c>
      <c r="H85" s="17" t="n">
        <v>399</v>
      </c>
      <c r="I85" s="6" t="n">
        <v>79.8</v>
      </c>
      <c r="J85" s="17" t="n">
        <v>0</v>
      </c>
      <c r="K85" s="17" t="n">
        <v>399</v>
      </c>
      <c r="L85" s="17" t="n">
        <v>0</v>
      </c>
      <c r="M85" s="17">
        <f>G85+J85</f>
        <v/>
      </c>
      <c r="N85" s="17">
        <f>O85/M85</f>
        <v/>
      </c>
      <c r="O85" s="17">
        <f>I85+L85</f>
        <v/>
      </c>
    </row>
    <row r="86" ht="27" customHeight="1" s="3">
      <c r="A86" s="6" t="n">
        <v>83</v>
      </c>
      <c r="B86" s="111" t="inlineStr">
        <is>
          <t>010237</t>
        </is>
      </c>
      <c r="C86" s="13" t="inlineStr">
        <is>
          <t>食品类</t>
        </is>
      </c>
      <c r="D86" s="26" t="inlineStr">
        <is>
          <t>免浆黑鱼片（无刺）</t>
        </is>
      </c>
      <c r="E86" s="26" t="inlineStr">
        <is>
          <t>500g/包*20包/件</t>
        </is>
      </c>
      <c r="F86" s="26" t="inlineStr">
        <is>
          <t>件[1件=20包]</t>
        </is>
      </c>
      <c r="G86" s="6" t="n">
        <v>1.7</v>
      </c>
      <c r="H86" s="17" t="n">
        <v>472.5</v>
      </c>
      <c r="I86" s="6" t="n">
        <v>803.25</v>
      </c>
      <c r="J86" s="17" t="n">
        <v>3</v>
      </c>
      <c r="K86" s="17" t="n">
        <v>472.5</v>
      </c>
      <c r="L86" s="17" t="n">
        <v>1417.5</v>
      </c>
      <c r="M86" s="17">
        <f>G86+J86</f>
        <v/>
      </c>
      <c r="N86" s="17">
        <f>O86/M86</f>
        <v/>
      </c>
      <c r="O86" s="17">
        <f>I86+L86</f>
        <v/>
      </c>
    </row>
    <row r="87" ht="27" customHeight="1" s="3">
      <c r="A87" s="6" t="n">
        <v>84</v>
      </c>
      <c r="B87" s="9" t="inlineStr">
        <is>
          <t>010241</t>
        </is>
      </c>
      <c r="C87" s="13" t="inlineStr">
        <is>
          <t>食品类</t>
        </is>
      </c>
      <c r="D87" s="26" t="inlineStr">
        <is>
          <t>黑芝麻糊</t>
        </is>
      </c>
      <c r="E87" s="26" t="inlineStr">
        <is>
          <t>50g/小包*20包/袋*5袋/件</t>
        </is>
      </c>
      <c r="F87" s="26" t="inlineStr">
        <is>
          <t>袋</t>
        </is>
      </c>
      <c r="G87" s="6" t="n">
        <v>0</v>
      </c>
      <c r="H87" s="17" t="n">
        <v>10.08</v>
      </c>
      <c r="I87" s="6" t="n">
        <v>0</v>
      </c>
      <c r="J87" s="17" t="n">
        <v>0</v>
      </c>
      <c r="K87" s="17" t="n">
        <v>10.08</v>
      </c>
      <c r="L87" s="17" t="n">
        <v>0</v>
      </c>
      <c r="M87" s="17">
        <f>G87+J87</f>
        <v/>
      </c>
      <c r="N87" s="17">
        <f>O87/M87</f>
        <v/>
      </c>
      <c r="O87" s="17">
        <f>I87+L87</f>
        <v/>
      </c>
    </row>
    <row r="88">
      <c r="A88" s="6" t="n">
        <v>85</v>
      </c>
      <c r="B88" s="9" t="inlineStr">
        <is>
          <t>010240</t>
        </is>
      </c>
      <c r="C88" s="13" t="inlineStr">
        <is>
          <t>食品类</t>
        </is>
      </c>
      <c r="D88" s="26" t="inlineStr">
        <is>
          <t>香锅调味料A+B</t>
        </is>
      </c>
      <c r="E88" s="26" t="inlineStr">
        <is>
          <t>11包*1550g/件</t>
        </is>
      </c>
      <c r="F88" s="26" t="inlineStr">
        <is>
          <t>包</t>
        </is>
      </c>
      <c r="G88" s="6" t="n">
        <v>9</v>
      </c>
      <c r="H88" s="17" t="n">
        <v>70.875</v>
      </c>
      <c r="I88" s="6" t="n">
        <v>637.875</v>
      </c>
      <c r="J88" s="17" t="n">
        <v>0</v>
      </c>
      <c r="K88" s="17" t="n">
        <v>70.875</v>
      </c>
      <c r="L88" s="17" t="n">
        <v>0</v>
      </c>
      <c r="M88" s="17">
        <f>G88+J88</f>
        <v/>
      </c>
      <c r="N88" s="17">
        <f>O88/M88</f>
        <v/>
      </c>
      <c r="O88" s="17">
        <f>I88+L88</f>
        <v/>
      </c>
    </row>
    <row r="89" ht="27" customHeight="1" s="3">
      <c r="A89" s="6" t="n">
        <v>86</v>
      </c>
      <c r="B89" s="9" t="inlineStr">
        <is>
          <t>010239</t>
        </is>
      </c>
      <c r="C89" s="13" t="inlineStr">
        <is>
          <t>食品类</t>
        </is>
      </c>
      <c r="D89" s="26" t="inlineStr">
        <is>
          <t>辣子鸡丁</t>
        </is>
      </c>
      <c r="E89" s="26" t="inlineStr">
        <is>
          <t>1kg*10包/件</t>
        </is>
      </c>
      <c r="F89" s="26" t="inlineStr">
        <is>
          <t>件[1件=10包]</t>
        </is>
      </c>
      <c r="G89" s="6" t="n">
        <v>0.5</v>
      </c>
      <c r="H89" s="17" t="n">
        <v>420</v>
      </c>
      <c r="I89" s="6" t="n">
        <v>210</v>
      </c>
      <c r="J89" s="17" t="n">
        <v>2</v>
      </c>
      <c r="K89" s="17" t="n">
        <v>420</v>
      </c>
      <c r="L89" s="17" t="n">
        <v>840</v>
      </c>
      <c r="M89" s="17">
        <f>G89+J89</f>
        <v/>
      </c>
      <c r="N89" s="17">
        <f>O89/M89</f>
        <v/>
      </c>
      <c r="O89" s="17">
        <f>I89+L89</f>
        <v/>
      </c>
    </row>
    <row r="90">
      <c r="A90" s="6" t="n">
        <v>87</v>
      </c>
      <c r="B90" s="9" t="inlineStr">
        <is>
          <t>020067</t>
        </is>
      </c>
      <c r="C90" s="13" t="inlineStr">
        <is>
          <t>易耗品</t>
        </is>
      </c>
      <c r="D90" s="26" t="inlineStr">
        <is>
          <t>铝制方木座</t>
        </is>
      </c>
      <c r="E90" s="26" t="n"/>
      <c r="F90" s="26" t="inlineStr">
        <is>
          <t>个</t>
        </is>
      </c>
      <c r="G90" s="6" t="n">
        <v>0</v>
      </c>
      <c r="H90" s="17" t="n">
        <v>28.35</v>
      </c>
      <c r="I90" s="6" t="n">
        <v>0</v>
      </c>
      <c r="J90" s="17" t="n">
        <v>0</v>
      </c>
      <c r="K90" s="17" t="n">
        <v>28.35</v>
      </c>
      <c r="L90" s="17" t="n">
        <v>0</v>
      </c>
      <c r="M90" s="17">
        <f>G90+J90</f>
        <v/>
      </c>
      <c r="N90" s="17">
        <f>O90/M90</f>
        <v/>
      </c>
      <c r="O90" s="17">
        <f>I90+L90</f>
        <v/>
      </c>
    </row>
    <row r="91" ht="27" customHeight="1" s="3">
      <c r="A91" s="6" t="n">
        <v>88</v>
      </c>
      <c r="B91" s="26" t="inlineStr">
        <is>
          <t>010238</t>
        </is>
      </c>
      <c r="C91" s="26" t="inlineStr">
        <is>
          <t>食品类</t>
        </is>
      </c>
      <c r="D91" s="26" t="inlineStr">
        <is>
          <t>粉小主汤底调味粉</t>
        </is>
      </c>
      <c r="E91" s="26" t="inlineStr">
        <is>
          <t>1073g/包*10包/件</t>
        </is>
      </c>
      <c r="F91" s="26" t="inlineStr">
        <is>
          <t>件[1件=10包]</t>
        </is>
      </c>
      <c r="G91" s="6" t="n">
        <v>11</v>
      </c>
      <c r="H91" s="17" t="n">
        <v>525</v>
      </c>
      <c r="I91" s="6" t="n">
        <v>5775</v>
      </c>
      <c r="J91" s="17" t="n">
        <v>6</v>
      </c>
      <c r="K91" s="17" t="n">
        <v>525</v>
      </c>
      <c r="L91" s="17" t="n">
        <v>3150</v>
      </c>
      <c r="M91" s="17">
        <f>G91+J91</f>
        <v/>
      </c>
      <c r="N91" s="17">
        <f>O91/M91</f>
        <v/>
      </c>
      <c r="O91" s="17">
        <f>I91+L91</f>
        <v/>
      </c>
    </row>
    <row r="92" ht="27" customHeight="1" s="3">
      <c r="A92" s="6" t="n">
        <v>89</v>
      </c>
      <c r="B92" s="26" t="inlineStr">
        <is>
          <t>010243</t>
        </is>
      </c>
      <c r="C92" s="26" t="inlineStr">
        <is>
          <t>食品类</t>
        </is>
      </c>
      <c r="D92" s="26" t="inlineStr">
        <is>
          <t>豆腐丸子（新升级）</t>
        </is>
      </c>
      <c r="E92" s="26" t="inlineStr">
        <is>
          <t>500克/包*12包/件</t>
        </is>
      </c>
      <c r="F92" s="26" t="inlineStr">
        <is>
          <t>件[1件=12包]</t>
        </is>
      </c>
      <c r="G92" s="6" t="n">
        <v>4.66666666666667</v>
      </c>
      <c r="H92" s="17" t="n">
        <v>207.9</v>
      </c>
      <c r="I92" s="6" t="n">
        <v>970.2</v>
      </c>
      <c r="J92" s="17" t="n">
        <v>5</v>
      </c>
      <c r="K92" s="17" t="n">
        <v>207.9</v>
      </c>
      <c r="L92" s="17" t="n">
        <v>1039.5</v>
      </c>
      <c r="M92" s="17">
        <f>G92+J92</f>
        <v/>
      </c>
      <c r="N92" s="17">
        <f>O92/M92</f>
        <v/>
      </c>
      <c r="O92" s="17">
        <f>I92+L92</f>
        <v/>
      </c>
    </row>
    <row r="93" ht="40.5" customHeight="1" s="3">
      <c r="A93" s="6" t="n">
        <v>90</v>
      </c>
      <c r="B93" s="26" t="inlineStr">
        <is>
          <t>030029</t>
        </is>
      </c>
      <c r="C93" s="26" t="inlineStr">
        <is>
          <t>易耗品</t>
        </is>
      </c>
      <c r="D93" s="26" t="inlineStr">
        <is>
          <t>粉小主白色汤粉餐盒（1350毫升）</t>
        </is>
      </c>
      <c r="E93" s="26" t="inlineStr">
        <is>
          <t>300个/件</t>
        </is>
      </c>
      <c r="F93" s="26" t="inlineStr">
        <is>
          <t>件[1件=300个]</t>
        </is>
      </c>
      <c r="G93" s="6" t="n">
        <v>3</v>
      </c>
      <c r="H93" s="17" t="n">
        <v>220.5</v>
      </c>
      <c r="I93" s="6" t="n">
        <v>661.5</v>
      </c>
      <c r="J93" s="17">
        <f>5+100/300</f>
        <v/>
      </c>
      <c r="K93" s="17" t="n">
        <v>220.5</v>
      </c>
      <c r="L93" s="17">
        <f>1102.5+73.5</f>
        <v/>
      </c>
      <c r="M93" s="17">
        <f>G93+J93</f>
        <v/>
      </c>
      <c r="N93" s="17">
        <f>O93/M93</f>
        <v/>
      </c>
      <c r="O93" s="17">
        <f>I93+L93</f>
        <v/>
      </c>
    </row>
    <row r="94" ht="27" customHeight="1" s="3">
      <c r="A94" s="6" t="n">
        <v>91</v>
      </c>
      <c r="B94" s="26" t="inlineStr">
        <is>
          <t>010214</t>
        </is>
      </c>
      <c r="C94" s="26" t="inlineStr">
        <is>
          <t>食品类</t>
        </is>
      </c>
      <c r="D94" s="26" t="inlineStr">
        <is>
          <t>香辣孜然撒料</t>
        </is>
      </c>
      <c r="E94" s="26" t="inlineStr">
        <is>
          <t>1kg/包*10包/件</t>
        </is>
      </c>
      <c r="F94" s="26" t="inlineStr">
        <is>
          <t>包</t>
        </is>
      </c>
      <c r="G94" s="6" t="n">
        <v>0</v>
      </c>
      <c r="H94" s="17" t="n">
        <v>50.4</v>
      </c>
      <c r="I94" s="6" t="n">
        <v>0</v>
      </c>
      <c r="J94" s="17" t="n">
        <v>0</v>
      </c>
      <c r="K94" s="17" t="n">
        <v>50.4</v>
      </c>
      <c r="L94" s="17" t="n">
        <v>0</v>
      </c>
      <c r="M94" s="17">
        <f>G94+J94</f>
        <v/>
      </c>
      <c r="N94" s="17">
        <f>O94/M94</f>
        <v/>
      </c>
      <c r="O94" s="17">
        <f>I94+L94</f>
        <v/>
      </c>
    </row>
    <row r="95" ht="27" customHeight="1" s="3">
      <c r="A95" s="6" t="n">
        <v>92</v>
      </c>
      <c r="B95" s="26" t="inlineStr">
        <is>
          <t>010249</t>
        </is>
      </c>
      <c r="C95" s="26" t="inlineStr">
        <is>
          <t>食品类</t>
        </is>
      </c>
      <c r="D95" s="26" t="inlineStr">
        <is>
          <t>野菜糍粑</t>
        </is>
      </c>
      <c r="E95" s="26" t="inlineStr">
        <is>
          <t>280g/包*20包/件</t>
        </is>
      </c>
      <c r="F95" s="26" t="inlineStr">
        <is>
          <t>件[1件=20包]</t>
        </is>
      </c>
      <c r="G95" s="6" t="n">
        <v>0.5</v>
      </c>
      <c r="H95" s="17" t="n">
        <v>131.25</v>
      </c>
      <c r="I95" s="6" t="n">
        <v>65.625</v>
      </c>
      <c r="J95" s="17" t="n">
        <v>0</v>
      </c>
      <c r="K95" s="17" t="n">
        <v>131.25</v>
      </c>
      <c r="L95" s="17" t="n">
        <v>0</v>
      </c>
      <c r="M95" s="17">
        <f>G95+J95</f>
        <v/>
      </c>
      <c r="N95" s="17">
        <f>O95/M95</f>
        <v/>
      </c>
      <c r="O95" s="17">
        <f>I95+L95</f>
        <v/>
      </c>
    </row>
    <row r="96">
      <c r="A96" s="6" t="n">
        <v>93</v>
      </c>
      <c r="B96" s="26" t="inlineStr">
        <is>
          <t>010250</t>
        </is>
      </c>
      <c r="C96" s="26" t="inlineStr">
        <is>
          <t>食品类</t>
        </is>
      </c>
      <c r="D96" s="26" t="inlineStr">
        <is>
          <t>五卤龙骨</t>
        </is>
      </c>
      <c r="E96" s="26" t="inlineStr">
        <is>
          <t>1kg/包*12包</t>
        </is>
      </c>
      <c r="F96" s="26" t="inlineStr">
        <is>
          <t>1kg/包*12包</t>
        </is>
      </c>
      <c r="G96" s="6" t="n">
        <v>0.4</v>
      </c>
      <c r="H96" s="17" t="n">
        <v>239.4</v>
      </c>
      <c r="I96" s="6" t="n">
        <v>95.76000000000001</v>
      </c>
      <c r="J96" s="17" t="n">
        <v>0</v>
      </c>
      <c r="K96" s="17" t="n">
        <v>239.4</v>
      </c>
      <c r="L96" s="17" t="n">
        <v>0</v>
      </c>
      <c r="M96" s="17">
        <f>G96+J96</f>
        <v/>
      </c>
      <c r="N96" s="17">
        <f>O96/M96</f>
        <v/>
      </c>
      <c r="O96" s="17">
        <f>I96+L96</f>
        <v/>
      </c>
    </row>
    <row r="97" ht="27" customHeight="1" s="3">
      <c r="A97" s="6" t="n">
        <v>94</v>
      </c>
      <c r="B97" s="26" t="inlineStr">
        <is>
          <t>010247</t>
        </is>
      </c>
      <c r="C97" s="26" t="inlineStr">
        <is>
          <t>食品类</t>
        </is>
      </c>
      <c r="D97" s="26" t="inlineStr">
        <is>
          <t>酸奶粉</t>
        </is>
      </c>
      <c r="E97" s="26" t="inlineStr">
        <is>
          <t>1kg/包*20包/件</t>
        </is>
      </c>
      <c r="F97" s="26" t="inlineStr">
        <is>
          <t>1kg/包*20包/件</t>
        </is>
      </c>
      <c r="G97" s="6" t="n">
        <v>1</v>
      </c>
      <c r="H97" s="17" t="n">
        <v>52.5</v>
      </c>
      <c r="I97" s="6" t="n">
        <v>52.5</v>
      </c>
      <c r="J97" s="17" t="n">
        <v>0</v>
      </c>
      <c r="K97" s="17" t="n">
        <v>52.5</v>
      </c>
      <c r="L97" s="17" t="n">
        <v>0</v>
      </c>
      <c r="M97" s="17">
        <f>G97+J97</f>
        <v/>
      </c>
      <c r="N97" s="17">
        <f>O97/M97</f>
        <v/>
      </c>
      <c r="O97" s="17">
        <f>I97+L97</f>
        <v/>
      </c>
    </row>
    <row r="98" ht="27" customHeight="1" s="3">
      <c r="A98" s="6" t="n">
        <v>95</v>
      </c>
      <c r="B98" s="26" t="inlineStr">
        <is>
          <t>010252</t>
        </is>
      </c>
      <c r="C98" s="26" t="inlineStr">
        <is>
          <t>食品类</t>
        </is>
      </c>
      <c r="D98" s="26" t="inlineStr">
        <is>
          <t>蓝莓酱（含果肉）</t>
        </is>
      </c>
      <c r="E98" s="26" t="inlineStr">
        <is>
          <t>1kg/瓶*12瓶/件</t>
        </is>
      </c>
      <c r="F98" s="26" t="inlineStr">
        <is>
          <t>1kg/瓶*12瓶/件</t>
        </is>
      </c>
      <c r="G98" s="6" t="n">
        <v>1</v>
      </c>
      <c r="H98" s="17" t="n">
        <v>44.1</v>
      </c>
      <c r="I98" s="6" t="n">
        <v>44.1</v>
      </c>
      <c r="J98" s="17" t="n">
        <v>0</v>
      </c>
      <c r="K98" s="17" t="n">
        <v>44.1</v>
      </c>
      <c r="L98" s="17" t="n">
        <v>0</v>
      </c>
      <c r="M98" s="17">
        <f>G98+J98</f>
        <v/>
      </c>
      <c r="N98" s="17">
        <f>O98/M98</f>
        <v/>
      </c>
      <c r="O98" s="17">
        <f>I98+L98</f>
        <v/>
      </c>
    </row>
    <row r="99" ht="27" customHeight="1" s="3">
      <c r="A99" s="6" t="n">
        <v>96</v>
      </c>
      <c r="B99" s="112" t="inlineStr">
        <is>
          <t>010253</t>
        </is>
      </c>
      <c r="C99" s="26" t="inlineStr">
        <is>
          <t>食品类</t>
        </is>
      </c>
      <c r="D99" s="26" t="inlineStr">
        <is>
          <t>粉小主三号酱</t>
        </is>
      </c>
      <c r="E99" s="26" t="inlineStr">
        <is>
          <t>800g+250g/包*11包/件</t>
        </is>
      </c>
      <c r="F99" s="26" t="inlineStr">
        <is>
          <t>件[1件=11包]</t>
        </is>
      </c>
      <c r="G99" s="6" t="n">
        <v>0.1</v>
      </c>
      <c r="H99" s="17" t="n">
        <v>404.25</v>
      </c>
      <c r="I99" s="6" t="n">
        <v>40.425</v>
      </c>
      <c r="J99" s="17" t="n">
        <v>0</v>
      </c>
      <c r="K99" s="17" t="n">
        <v>404.25</v>
      </c>
      <c r="L99" s="17" t="n">
        <v>0</v>
      </c>
      <c r="M99" s="17">
        <f>G99+J99</f>
        <v/>
      </c>
      <c r="N99" s="17">
        <f>O99/M99</f>
        <v/>
      </c>
      <c r="O99" s="17">
        <f>I99+L99</f>
        <v/>
      </c>
    </row>
    <row r="100" ht="16.5" customHeight="1" s="3">
      <c r="A100" s="6" t="n">
        <v>97</v>
      </c>
      <c r="B100" s="27" t="inlineStr">
        <is>
          <t>010256</t>
        </is>
      </c>
      <c r="C100" s="13" t="inlineStr">
        <is>
          <t>食品类</t>
        </is>
      </c>
      <c r="D100" s="28" t="inlineStr">
        <is>
          <t>经典肥牛砖</t>
        </is>
      </c>
      <c r="E100" s="27" t="inlineStr">
        <is>
          <t>24.92kg/件</t>
        </is>
      </c>
      <c r="F100" s="27" t="inlineStr">
        <is>
          <t>件[1件=21块]</t>
        </is>
      </c>
      <c r="G100" s="6" t="n"/>
      <c r="H100" s="17" t="n"/>
      <c r="I100" s="6" t="n"/>
      <c r="J100" s="17" t="n">
        <v>2</v>
      </c>
      <c r="K100" s="17" t="n">
        <v>2234.4</v>
      </c>
      <c r="L100" s="17" t="n">
        <v>4468.8</v>
      </c>
      <c r="M100" s="17">
        <f>G100+J100</f>
        <v/>
      </c>
      <c r="N100" s="17">
        <f>O100/M100</f>
        <v/>
      </c>
      <c r="O100" s="17">
        <f>I100+L100</f>
        <v/>
      </c>
    </row>
    <row r="101" ht="16.5" customHeight="1" s="3">
      <c r="A101" s="6" t="n">
        <v>98</v>
      </c>
      <c r="B101" s="27" t="inlineStr">
        <is>
          <t>010015</t>
        </is>
      </c>
      <c r="C101" s="13" t="inlineStr">
        <is>
          <t>食品类</t>
        </is>
      </c>
      <c r="D101" s="28" t="inlineStr">
        <is>
          <t>剁椒榨菜丁</t>
        </is>
      </c>
      <c r="E101" s="27" t="inlineStr">
        <is>
          <t>500g/包*20包/件</t>
        </is>
      </c>
      <c r="F101" s="27" t="inlineStr">
        <is>
          <t>件[1件=20包]</t>
        </is>
      </c>
      <c r="G101" s="6" t="n"/>
      <c r="H101" s="17" t="n"/>
      <c r="I101" s="6" t="n"/>
      <c r="J101" s="17" t="n">
        <v>3</v>
      </c>
      <c r="K101" s="17" t="n">
        <v>171.15</v>
      </c>
      <c r="L101" s="17" t="n">
        <v>513.45</v>
      </c>
      <c r="M101" s="17">
        <f>G101+J101</f>
        <v/>
      </c>
      <c r="N101" s="17">
        <f>O101/M101</f>
        <v/>
      </c>
      <c r="O101" s="17">
        <f>I101+L101</f>
        <v/>
      </c>
    </row>
    <row r="102">
      <c r="A102" s="6" t="n">
        <v>99</v>
      </c>
      <c r="B102" s="9" t="n">
        <v>3025131</v>
      </c>
      <c r="C102" s="13" t="inlineStr">
        <is>
          <t>食品类</t>
        </is>
      </c>
      <c r="D102" s="26" t="inlineStr">
        <is>
          <t>牛大骨</t>
        </is>
      </c>
      <c r="E102" s="26" t="n"/>
      <c r="F102" s="26" t="inlineStr">
        <is>
          <t>斤</t>
        </is>
      </c>
      <c r="G102" s="17" t="n">
        <v>28</v>
      </c>
      <c r="H102" s="17" t="n">
        <v>2.5</v>
      </c>
      <c r="I102" s="17" t="n">
        <v>70</v>
      </c>
      <c r="J102" s="17" t="n">
        <v>833</v>
      </c>
      <c r="K102" s="17" t="n">
        <v>2.49939975990396</v>
      </c>
      <c r="L102" s="17" t="n">
        <v>2082</v>
      </c>
      <c r="M102" s="17">
        <f>G102+J102</f>
        <v/>
      </c>
      <c r="N102" s="17">
        <f>O102/M102</f>
        <v/>
      </c>
      <c r="O102" s="17">
        <f>I102+L102</f>
        <v/>
      </c>
    </row>
    <row r="103">
      <c r="A103" s="6" t="n">
        <v>100</v>
      </c>
      <c r="B103" s="9" t="n">
        <v>3029361</v>
      </c>
      <c r="C103" s="13" t="inlineStr">
        <is>
          <t>食品类</t>
        </is>
      </c>
      <c r="D103" s="26" t="inlineStr">
        <is>
          <t>鲜牛脊骨块</t>
        </is>
      </c>
      <c r="E103" s="26" t="n"/>
      <c r="F103" s="26" t="inlineStr">
        <is>
          <t>斤</t>
        </is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e">
        <v>#DIV/0!</v>
      </c>
      <c r="L103" s="17" t="n">
        <v>0</v>
      </c>
      <c r="M103" s="17">
        <f>G103+J103</f>
        <v/>
      </c>
      <c r="N103" s="17">
        <f>O103/M103</f>
        <v/>
      </c>
      <c r="O103" s="17">
        <f>I103+L103</f>
        <v/>
      </c>
    </row>
    <row r="104">
      <c r="A104" s="6" t="n">
        <v>101</v>
      </c>
      <c r="B104" s="9" t="n">
        <v>3023907</v>
      </c>
      <c r="C104" s="13" t="inlineStr">
        <is>
          <t>食品类</t>
        </is>
      </c>
      <c r="D104" s="26" t="inlineStr">
        <is>
          <t>生牛油</t>
        </is>
      </c>
      <c r="E104" s="26" t="n"/>
      <c r="F104" s="26" t="inlineStr">
        <is>
          <t>斤</t>
        </is>
      </c>
      <c r="G104" s="17" t="n">
        <v>0</v>
      </c>
      <c r="H104" s="17" t="n">
        <v>0</v>
      </c>
      <c r="I104" s="17" t="n">
        <v>0</v>
      </c>
      <c r="J104" s="6" t="n">
        <v>142.1</v>
      </c>
      <c r="K104" s="6" t="n">
        <v>4.48275862068966</v>
      </c>
      <c r="L104" s="6" t="n">
        <v>637</v>
      </c>
      <c r="M104" s="17">
        <f>G104+J104</f>
        <v/>
      </c>
      <c r="N104" s="17">
        <f>O104/M104</f>
        <v/>
      </c>
      <c r="O104" s="17">
        <f>I104+L104</f>
        <v/>
      </c>
    </row>
    <row r="105">
      <c r="A105" s="6" t="n">
        <v>102</v>
      </c>
      <c r="B105" s="9" t="n">
        <v>3029947</v>
      </c>
      <c r="C105" s="13" t="inlineStr">
        <is>
          <t>食品类</t>
        </is>
      </c>
      <c r="D105" s="26" t="inlineStr">
        <is>
          <t>吊龙</t>
        </is>
      </c>
      <c r="E105" s="26" t="n"/>
      <c r="F105" s="26" t="inlineStr">
        <is>
          <t>斤</t>
        </is>
      </c>
      <c r="G105" s="17" t="n">
        <v>11.7</v>
      </c>
      <c r="H105" s="17" t="n">
        <v>40.9401709401709</v>
      </c>
      <c r="I105" s="17" t="n">
        <v>479</v>
      </c>
      <c r="J105" s="17" t="n">
        <v>665.395121951219</v>
      </c>
      <c r="K105" s="17" t="n">
        <v>40.9786592965119</v>
      </c>
      <c r="L105" s="17" t="n">
        <v>27267</v>
      </c>
      <c r="M105" s="17">
        <f>G105+J105</f>
        <v/>
      </c>
      <c r="N105" s="17">
        <f>O105/M105</f>
        <v/>
      </c>
      <c r="O105" s="17">
        <f>I105+L105</f>
        <v/>
      </c>
    </row>
    <row r="106">
      <c r="A106" s="6" t="n">
        <v>103</v>
      </c>
      <c r="B106" s="9" t="n">
        <v>3030219</v>
      </c>
      <c r="C106" s="13" t="inlineStr">
        <is>
          <t>食品类</t>
        </is>
      </c>
      <c r="D106" s="26" t="inlineStr">
        <is>
          <t>生前胛肉</t>
        </is>
      </c>
      <c r="E106" s="26" t="n"/>
      <c r="F106" s="26" t="inlineStr">
        <is>
          <t>斤</t>
        </is>
      </c>
      <c r="G106" s="17" t="n">
        <v>14.3</v>
      </c>
      <c r="H106" s="17" t="n">
        <v>31.958041958042</v>
      </c>
      <c r="I106" s="17" t="n">
        <v>457</v>
      </c>
      <c r="J106" s="17" t="n">
        <v>386.783993902439</v>
      </c>
      <c r="K106" s="17" t="n">
        <v>32.2428026924652</v>
      </c>
      <c r="L106" s="17" t="n">
        <v>12471</v>
      </c>
      <c r="M106" s="17">
        <f>G106+J106</f>
        <v/>
      </c>
      <c r="N106" s="17">
        <f>O106/M106</f>
        <v/>
      </c>
      <c r="O106" s="17">
        <f>I106+L106</f>
        <v/>
      </c>
    </row>
    <row r="107">
      <c r="A107" s="6" t="n">
        <v>104</v>
      </c>
      <c r="B107" s="9" t="n">
        <v>3024831</v>
      </c>
      <c r="C107" s="13" t="inlineStr">
        <is>
          <t>食品类</t>
        </is>
      </c>
      <c r="D107" s="26" t="inlineStr">
        <is>
          <t>鲜牛腩</t>
        </is>
      </c>
      <c r="E107" s="26" t="n"/>
      <c r="F107" s="26" t="inlineStr">
        <is>
          <t>斤</t>
        </is>
      </c>
      <c r="G107" s="17" t="n">
        <v>0</v>
      </c>
      <c r="H107" s="17" t="n">
        <v>0</v>
      </c>
      <c r="I107" s="17" t="n">
        <v>0</v>
      </c>
      <c r="J107" s="6" t="n">
        <v>0</v>
      </c>
      <c r="K107" s="128" t="e">
        <v>#DIV/0!</v>
      </c>
      <c r="L107" s="6" t="n">
        <v>0</v>
      </c>
      <c r="M107" s="17">
        <f>G107+J107</f>
        <v/>
      </c>
      <c r="N107" s="17">
        <f>O107/M107</f>
        <v/>
      </c>
      <c r="O107" s="17">
        <f>I107+L107</f>
        <v/>
      </c>
    </row>
    <row r="108">
      <c r="A108" s="6" t="n">
        <v>105</v>
      </c>
      <c r="B108" s="9" t="inlineStr">
        <is>
          <t>ZC000001</t>
        </is>
      </c>
      <c r="C108" s="13" t="inlineStr">
        <is>
          <t>食品类</t>
        </is>
      </c>
      <c r="D108" s="13" t="inlineStr">
        <is>
          <t>豌豆苗</t>
        </is>
      </c>
      <c r="E108" s="26" t="n"/>
      <c r="F108" s="26" t="inlineStr">
        <is>
          <t>斤</t>
        </is>
      </c>
      <c r="G108" s="17" t="n">
        <v>0</v>
      </c>
      <c r="H108" s="17" t="n">
        <v>0</v>
      </c>
      <c r="I108" s="17" t="n">
        <v>0</v>
      </c>
      <c r="J108" s="6" t="n">
        <v>0</v>
      </c>
      <c r="K108" s="128" t="e">
        <v>#DIV/0!</v>
      </c>
      <c r="L108" s="6" t="n">
        <v>0</v>
      </c>
      <c r="M108" s="17">
        <f>G108+J108</f>
        <v/>
      </c>
      <c r="N108" s="17">
        <f>O108/M108</f>
        <v/>
      </c>
      <c r="O108" s="17">
        <f>I108+L108</f>
        <v/>
      </c>
    </row>
    <row r="109">
      <c r="A109" s="6" t="n">
        <v>106</v>
      </c>
      <c r="B109" s="9" t="inlineStr">
        <is>
          <t>ZC000002</t>
        </is>
      </c>
      <c r="C109" s="13" t="inlineStr">
        <is>
          <t>食品类</t>
        </is>
      </c>
      <c r="D109" s="26" t="inlineStr">
        <is>
          <t>去皮蒜米</t>
        </is>
      </c>
      <c r="E109" s="26" t="n"/>
      <c r="F109" s="26" t="inlineStr">
        <is>
          <t>斤</t>
        </is>
      </c>
      <c r="G109" s="17" t="n">
        <v>0</v>
      </c>
      <c r="H109" s="17" t="n">
        <v>0</v>
      </c>
      <c r="I109" s="17" t="n">
        <v>0</v>
      </c>
      <c r="J109" s="17" t="n">
        <v>8.5</v>
      </c>
      <c r="K109" s="17" t="n">
        <v>4.94117647058824</v>
      </c>
      <c r="L109" s="17" t="n">
        <v>42</v>
      </c>
      <c r="M109" s="17">
        <f>G109+J109</f>
        <v/>
      </c>
      <c r="N109" s="17">
        <f>O109/M109</f>
        <v/>
      </c>
      <c r="O109" s="17">
        <f>I109+L109</f>
        <v/>
      </c>
    </row>
    <row r="110">
      <c r="A110" s="6" t="n">
        <v>107</v>
      </c>
      <c r="B110" s="9" t="inlineStr">
        <is>
          <t>ZC000003</t>
        </is>
      </c>
      <c r="C110" s="13" t="inlineStr">
        <is>
          <t>食品类</t>
        </is>
      </c>
      <c r="D110" s="13" t="inlineStr">
        <is>
          <t>鱼腥草</t>
        </is>
      </c>
      <c r="E110" s="26" t="n"/>
      <c r="F110" s="26" t="inlineStr">
        <is>
          <t>斤</t>
        </is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e">
        <v>#DIV/0!</v>
      </c>
      <c r="L110" s="17" t="n">
        <v>0</v>
      </c>
      <c r="M110" s="17">
        <f>G110+J110</f>
        <v/>
      </c>
      <c r="N110" s="17">
        <f>O110/M110</f>
        <v/>
      </c>
      <c r="O110" s="17">
        <f>I110+L110</f>
        <v/>
      </c>
    </row>
    <row r="111">
      <c r="A111" s="6" t="n">
        <v>108</v>
      </c>
      <c r="B111" s="9" t="inlineStr">
        <is>
          <t>ZC000004</t>
        </is>
      </c>
      <c r="C111" s="13" t="inlineStr">
        <is>
          <t>食品类</t>
        </is>
      </c>
      <c r="D111" s="26" t="inlineStr">
        <is>
          <t>生姜</t>
        </is>
      </c>
      <c r="E111" s="26" t="n"/>
      <c r="F111" s="26" t="inlineStr">
        <is>
          <t>斤</t>
        </is>
      </c>
      <c r="G111" s="17" t="n">
        <v>0</v>
      </c>
      <c r="H111" s="17" t="n">
        <v>0</v>
      </c>
      <c r="I111" s="17" t="n">
        <v>0</v>
      </c>
      <c r="J111" s="17" t="n">
        <v>30.5</v>
      </c>
      <c r="K111" s="17" t="n">
        <v>6.78688524590164</v>
      </c>
      <c r="L111" s="17" t="n">
        <v>207</v>
      </c>
      <c r="M111" s="17">
        <f>G111+J111</f>
        <v/>
      </c>
      <c r="N111" s="17">
        <f>O111/M111</f>
        <v/>
      </c>
      <c r="O111" s="17">
        <f>I111+L111</f>
        <v/>
      </c>
    </row>
    <row r="112">
      <c r="A112" s="6" t="n">
        <v>109</v>
      </c>
      <c r="B112" s="9" t="inlineStr">
        <is>
          <t>ZC000005</t>
        </is>
      </c>
      <c r="C112" s="13" t="inlineStr">
        <is>
          <t>食品类</t>
        </is>
      </c>
      <c r="D112" s="26" t="inlineStr">
        <is>
          <t>香菜</t>
        </is>
      </c>
      <c r="E112" s="26" t="n"/>
      <c r="F112" s="26" t="inlineStr">
        <is>
          <t>斤</t>
        </is>
      </c>
      <c r="G112" s="6" t="n">
        <v>2.5</v>
      </c>
      <c r="H112" s="17" t="n">
        <v>4.8</v>
      </c>
      <c r="I112" s="6" t="n">
        <v>12</v>
      </c>
      <c r="J112" s="17" t="n">
        <v>76.3</v>
      </c>
      <c r="K112" s="17" t="n">
        <v>6.09436435124508</v>
      </c>
      <c r="L112" s="17" t="n">
        <v>465</v>
      </c>
      <c r="M112" s="17">
        <f>G112+J112</f>
        <v/>
      </c>
      <c r="N112" s="17">
        <f>O112/M112</f>
        <v/>
      </c>
      <c r="O112" s="17">
        <f>I112+L112</f>
        <v/>
      </c>
    </row>
    <row r="113">
      <c r="A113" s="6" t="n">
        <v>110</v>
      </c>
      <c r="B113" s="9" t="inlineStr">
        <is>
          <t>ZC000006</t>
        </is>
      </c>
      <c r="C113" s="13" t="inlineStr">
        <is>
          <t>食品类</t>
        </is>
      </c>
      <c r="D113" s="26" t="inlineStr">
        <is>
          <t>香葱</t>
        </is>
      </c>
      <c r="E113" s="26" t="n"/>
      <c r="F113" s="26" t="inlineStr">
        <is>
          <t>斤</t>
        </is>
      </c>
      <c r="G113" s="6" t="n">
        <v>2.4</v>
      </c>
      <c r="H113" s="17" t="n">
        <v>3.75</v>
      </c>
      <c r="I113" s="6" t="n">
        <v>9</v>
      </c>
      <c r="J113" s="17" t="n">
        <v>104.5</v>
      </c>
      <c r="K113" s="17" t="n">
        <v>3.91387559808612</v>
      </c>
      <c r="L113" s="17" t="n">
        <v>409</v>
      </c>
      <c r="M113" s="17">
        <f>G113+J113</f>
        <v/>
      </c>
      <c r="N113" s="17">
        <f>O113/M113</f>
        <v/>
      </c>
      <c r="O113" s="17">
        <f>I113+L113</f>
        <v/>
      </c>
    </row>
    <row r="114">
      <c r="A114" s="6" t="n">
        <v>111</v>
      </c>
      <c r="B114" s="9" t="inlineStr">
        <is>
          <t>ZC000007</t>
        </is>
      </c>
      <c r="C114" s="13" t="inlineStr">
        <is>
          <t>食品类</t>
        </is>
      </c>
      <c r="D114" s="26" t="inlineStr">
        <is>
          <t>米酒</t>
        </is>
      </c>
      <c r="E114" s="26" t="n"/>
      <c r="F114" s="26" t="inlineStr">
        <is>
          <t>瓶</t>
        </is>
      </c>
      <c r="G114" s="17" t="n">
        <v>0</v>
      </c>
      <c r="H114" s="17" t="n">
        <v>0</v>
      </c>
      <c r="I114" s="17" t="n">
        <v>0</v>
      </c>
      <c r="J114" s="13" t="n">
        <v>0</v>
      </c>
      <c r="K114" s="13" t="e">
        <v>#DIV/0!</v>
      </c>
      <c r="L114" s="13" t="n">
        <v>0</v>
      </c>
      <c r="M114" s="17">
        <f>G114+J114</f>
        <v/>
      </c>
      <c r="N114" s="17">
        <f>O114/M114</f>
        <v/>
      </c>
      <c r="O114" s="17">
        <f>I114+L114</f>
        <v/>
      </c>
    </row>
    <row r="115">
      <c r="A115" s="6" t="n">
        <v>112</v>
      </c>
      <c r="B115" s="9" t="inlineStr">
        <is>
          <t>ZC000008</t>
        </is>
      </c>
      <c r="C115" s="13" t="inlineStr">
        <is>
          <t>食品类</t>
        </is>
      </c>
      <c r="D115" s="26" t="inlineStr">
        <is>
          <t>鸡蛋</t>
        </is>
      </c>
      <c r="E115" s="26" t="n"/>
      <c r="F115" s="26" t="inlineStr">
        <is>
          <t>板</t>
        </is>
      </c>
      <c r="G115" s="6" t="n">
        <v>1</v>
      </c>
      <c r="H115" s="17" t="n">
        <v>25</v>
      </c>
      <c r="I115" s="6" t="n">
        <v>25</v>
      </c>
      <c r="J115" s="17" t="n">
        <v>26</v>
      </c>
      <c r="K115" s="17" t="n">
        <v>25</v>
      </c>
      <c r="L115" s="17" t="n">
        <v>650</v>
      </c>
      <c r="M115" s="17">
        <f>G115+J115</f>
        <v/>
      </c>
      <c r="N115" s="17">
        <f>O115/M115</f>
        <v/>
      </c>
      <c r="O115" s="17">
        <f>I115+L115</f>
        <v/>
      </c>
    </row>
    <row r="116">
      <c r="A116" s="6" t="n">
        <v>113</v>
      </c>
      <c r="B116" s="9" t="inlineStr">
        <is>
          <t>ZC000009</t>
        </is>
      </c>
      <c r="C116" s="13" t="inlineStr">
        <is>
          <t>食品类</t>
        </is>
      </c>
      <c r="D116" s="26" t="inlineStr">
        <is>
          <t>番茄</t>
        </is>
      </c>
      <c r="E116" s="26" t="n"/>
      <c r="F116" s="26" t="inlineStr">
        <is>
          <t>斤</t>
        </is>
      </c>
      <c r="G116" s="6" t="n">
        <v>1.2</v>
      </c>
      <c r="H116" s="17" t="n">
        <v>3.33333333333333</v>
      </c>
      <c r="I116" s="6" t="n">
        <v>4</v>
      </c>
      <c r="J116" s="17" t="n">
        <v>52</v>
      </c>
      <c r="K116" s="17" t="n">
        <v>3.86538461538462</v>
      </c>
      <c r="L116" s="17" t="n">
        <v>201</v>
      </c>
      <c r="M116" s="17">
        <f>G116+J116</f>
        <v/>
      </c>
      <c r="N116" s="17">
        <f>O116/M116</f>
        <v/>
      </c>
      <c r="O116" s="17">
        <f>I116+L116</f>
        <v/>
      </c>
    </row>
    <row r="117">
      <c r="A117" s="6" t="n">
        <v>114</v>
      </c>
      <c r="B117" s="9" t="inlineStr">
        <is>
          <t>ZC000010</t>
        </is>
      </c>
      <c r="C117" s="13" t="inlineStr">
        <is>
          <t>食品类</t>
        </is>
      </c>
      <c r="D117" s="26" t="inlineStr">
        <is>
          <t>亿亩田大米</t>
        </is>
      </c>
      <c r="E117" s="26" t="n"/>
      <c r="F117" s="26" t="inlineStr">
        <is>
          <t>斤</t>
        </is>
      </c>
      <c r="G117" s="17" t="n">
        <v>0</v>
      </c>
      <c r="H117" s="17" t="n">
        <v>0</v>
      </c>
      <c r="I117" s="17" t="n">
        <v>0</v>
      </c>
      <c r="J117" s="17" t="n">
        <v>50</v>
      </c>
      <c r="K117" s="17" t="n">
        <v>3.4</v>
      </c>
      <c r="L117" s="17" t="n">
        <v>170</v>
      </c>
      <c r="M117" s="17">
        <f>G117+J117</f>
        <v/>
      </c>
      <c r="N117" s="17">
        <f>O117/M117</f>
        <v/>
      </c>
      <c r="O117" s="17">
        <f>I117+L117</f>
        <v/>
      </c>
    </row>
    <row r="118">
      <c r="A118" s="6" t="n">
        <v>115</v>
      </c>
      <c r="B118" s="9" t="inlineStr">
        <is>
          <t>ZC000011</t>
        </is>
      </c>
      <c r="C118" s="13" t="inlineStr">
        <is>
          <t>食品类</t>
        </is>
      </c>
      <c r="D118" s="26" t="inlineStr">
        <is>
          <t>盐</t>
        </is>
      </c>
      <c r="E118" s="26" t="n"/>
      <c r="F118" s="26" t="inlineStr">
        <is>
          <t>包</t>
        </is>
      </c>
      <c r="G118" s="17" t="n">
        <v>0</v>
      </c>
      <c r="H118" s="17" t="n">
        <v>0</v>
      </c>
      <c r="I118" s="17" t="n">
        <v>0</v>
      </c>
      <c r="J118" s="17" t="n">
        <v>70</v>
      </c>
      <c r="K118" s="17" t="n">
        <v>1.5</v>
      </c>
      <c r="L118" s="17" t="n">
        <v>105</v>
      </c>
      <c r="M118" s="17">
        <f>G118+J118</f>
        <v/>
      </c>
      <c r="N118" s="17">
        <f>O118/M118</f>
        <v/>
      </c>
      <c r="O118" s="17">
        <f>I118+L118</f>
        <v/>
      </c>
    </row>
    <row r="119">
      <c r="A119" s="6" t="n">
        <v>116</v>
      </c>
      <c r="B119" s="9" t="inlineStr">
        <is>
          <t>ZC000012</t>
        </is>
      </c>
      <c r="C119" s="13" t="inlineStr">
        <is>
          <t>食品类</t>
        </is>
      </c>
      <c r="D119" s="26" t="inlineStr">
        <is>
          <t>菜籽油</t>
        </is>
      </c>
      <c r="E119" s="26" t="n"/>
      <c r="F119" s="26" t="inlineStr">
        <is>
          <t>桶</t>
        </is>
      </c>
      <c r="G119" s="6" t="n">
        <v>0</v>
      </c>
      <c r="H119" s="17" t="n">
        <v>0</v>
      </c>
      <c r="I119" s="6" t="n">
        <v>0</v>
      </c>
      <c r="J119" s="17" t="n">
        <v>3</v>
      </c>
      <c r="K119" s="17" t="n">
        <v>58</v>
      </c>
      <c r="L119" s="17" t="n">
        <v>174</v>
      </c>
      <c r="M119" s="17">
        <f>G119+J119</f>
        <v/>
      </c>
      <c r="N119" s="17">
        <f>O119/M119</f>
        <v/>
      </c>
      <c r="O119" s="17">
        <f>I119+L119</f>
        <v/>
      </c>
    </row>
    <row r="120">
      <c r="A120" s="6" t="n">
        <v>117</v>
      </c>
      <c r="B120" s="9" t="inlineStr">
        <is>
          <t>ZC000013</t>
        </is>
      </c>
      <c r="C120" s="13" t="inlineStr">
        <is>
          <t>食品类</t>
        </is>
      </c>
      <c r="D120" s="26" t="inlineStr">
        <is>
          <t>薄荷叶</t>
        </is>
      </c>
      <c r="E120" s="26" t="n"/>
      <c r="F120" s="26" t="inlineStr">
        <is>
          <t>盒</t>
        </is>
      </c>
      <c r="G120" s="6" t="n">
        <v>2</v>
      </c>
      <c r="H120" s="17" t="n">
        <v>10</v>
      </c>
      <c r="I120" s="6" t="n">
        <v>20</v>
      </c>
      <c r="J120" s="17" t="n">
        <v>31.3</v>
      </c>
      <c r="K120" s="17" t="n">
        <v>10.1597444089457</v>
      </c>
      <c r="L120" s="17" t="n">
        <v>318</v>
      </c>
      <c r="M120" s="17">
        <f>G120+J120</f>
        <v/>
      </c>
      <c r="N120" s="17">
        <f>O120/M120</f>
        <v/>
      </c>
      <c r="O120" s="17">
        <f>I120+L120</f>
        <v/>
      </c>
    </row>
    <row r="121">
      <c r="A121" s="6" t="n">
        <v>118</v>
      </c>
      <c r="B121" s="9" t="inlineStr">
        <is>
          <t>ZC000014</t>
        </is>
      </c>
      <c r="C121" s="13" t="inlineStr">
        <is>
          <t>食品类</t>
        </is>
      </c>
      <c r="D121" s="26" t="inlineStr">
        <is>
          <t>八角</t>
        </is>
      </c>
      <c r="E121" s="26" t="n"/>
      <c r="F121" s="26" t="inlineStr">
        <is>
          <t>斤</t>
        </is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e">
        <v>#DIV/0!</v>
      </c>
      <c r="L121" s="17" t="n">
        <v>0</v>
      </c>
      <c r="M121" s="17">
        <f>G121+J121</f>
        <v/>
      </c>
      <c r="N121" s="17">
        <f>O121/M121</f>
        <v/>
      </c>
      <c r="O121" s="17">
        <f>I121+L121</f>
        <v/>
      </c>
    </row>
    <row r="122">
      <c r="A122" s="6" t="n">
        <v>119</v>
      </c>
      <c r="B122" s="9" t="inlineStr">
        <is>
          <t>ZC000015</t>
        </is>
      </c>
      <c r="C122" s="13" t="inlineStr">
        <is>
          <t>食品类</t>
        </is>
      </c>
      <c r="D122" s="26" t="inlineStr">
        <is>
          <t>香叶</t>
        </is>
      </c>
      <c r="E122" s="26" t="n"/>
      <c r="F122" s="26" t="inlineStr">
        <is>
          <t>斤</t>
        </is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e">
        <v>#DIV/0!</v>
      </c>
      <c r="L122" s="17" t="n">
        <v>0</v>
      </c>
      <c r="M122" s="17">
        <f>G122+J122</f>
        <v/>
      </c>
      <c r="N122" s="17">
        <f>O122/M122</f>
        <v/>
      </c>
      <c r="O122" s="17">
        <f>I122+L122</f>
        <v/>
      </c>
    </row>
    <row r="123">
      <c r="A123" s="6" t="n">
        <v>120</v>
      </c>
      <c r="B123" s="9" t="inlineStr">
        <is>
          <t>ZC000016</t>
        </is>
      </c>
      <c r="C123" s="13" t="inlineStr">
        <is>
          <t>食品类</t>
        </is>
      </c>
      <c r="D123" s="26" t="inlineStr">
        <is>
          <t>香草</t>
        </is>
      </c>
      <c r="E123" s="26" t="n"/>
      <c r="F123" s="26" t="inlineStr">
        <is>
          <t>斤</t>
        </is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e">
        <v>#DIV/0!</v>
      </c>
      <c r="L123" s="17" t="n">
        <v>0</v>
      </c>
      <c r="M123" s="17">
        <f>G123+J123</f>
        <v/>
      </c>
      <c r="N123" s="17">
        <f>O123/M123</f>
        <v/>
      </c>
      <c r="O123" s="17">
        <f>I123+L123</f>
        <v/>
      </c>
    </row>
    <row r="124">
      <c r="A124" s="6" t="n">
        <v>121</v>
      </c>
      <c r="B124" s="9" t="inlineStr">
        <is>
          <t>ZC000017</t>
        </is>
      </c>
      <c r="C124" s="13" t="inlineStr">
        <is>
          <t>食品类</t>
        </is>
      </c>
      <c r="D124" s="26" t="inlineStr">
        <is>
          <t>绿豆芽</t>
        </is>
      </c>
      <c r="E124" s="26" t="n"/>
      <c r="F124" s="26" t="inlineStr">
        <is>
          <t>斤</t>
        </is>
      </c>
      <c r="G124" s="17" t="n">
        <v>0</v>
      </c>
      <c r="H124" s="17" t="n">
        <v>0</v>
      </c>
      <c r="I124" s="17" t="n">
        <v>0</v>
      </c>
      <c r="J124" s="17" t="n">
        <v>19</v>
      </c>
      <c r="K124" s="17" t="n">
        <v>1.94736842105263</v>
      </c>
      <c r="L124" s="17" t="n">
        <v>37</v>
      </c>
      <c r="M124" s="17">
        <f>G124+J124</f>
        <v/>
      </c>
      <c r="N124" s="17">
        <f>O124/M124</f>
        <v/>
      </c>
      <c r="O124" s="17">
        <f>I124+L124</f>
        <v/>
      </c>
    </row>
    <row r="125">
      <c r="A125" s="6" t="n">
        <v>122</v>
      </c>
      <c r="B125" s="9" t="inlineStr">
        <is>
          <t>ZC000018</t>
        </is>
      </c>
      <c r="C125" s="13" t="inlineStr">
        <is>
          <t>食品类</t>
        </is>
      </c>
      <c r="D125" s="26" t="inlineStr">
        <is>
          <t>东古鸡精</t>
        </is>
      </c>
      <c r="E125" s="26" t="n"/>
      <c r="F125" s="26" t="inlineStr">
        <is>
          <t>袋</t>
        </is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e">
        <v>#DIV/0!</v>
      </c>
      <c r="L125" s="17" t="n">
        <v>0</v>
      </c>
      <c r="M125" s="17">
        <f>G125+J125</f>
        <v/>
      </c>
      <c r="N125" s="17">
        <f>O125/M125</f>
        <v/>
      </c>
      <c r="O125" s="17">
        <f>I125+L125</f>
        <v/>
      </c>
    </row>
    <row r="126">
      <c r="A126" s="6" t="n">
        <v>123</v>
      </c>
      <c r="B126" s="9" t="inlineStr">
        <is>
          <t>ZC000019</t>
        </is>
      </c>
      <c r="C126" s="13" t="inlineStr">
        <is>
          <t>食品类</t>
        </is>
      </c>
      <c r="D126" s="26" t="inlineStr">
        <is>
          <t>双桥味精</t>
        </is>
      </c>
      <c r="E126" s="26" t="n"/>
      <c r="F126" s="26" t="inlineStr">
        <is>
          <t>件</t>
        </is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e">
        <v>#DIV/0!</v>
      </c>
      <c r="L126" s="17" t="n">
        <v>0</v>
      </c>
      <c r="M126" s="17">
        <f>G126+J126</f>
        <v/>
      </c>
      <c r="N126" s="17">
        <f>O126/M126</f>
        <v/>
      </c>
      <c r="O126" s="17">
        <f>I126+L126</f>
        <v/>
      </c>
    </row>
    <row r="127">
      <c r="A127" s="6" t="n">
        <v>124</v>
      </c>
      <c r="B127" s="9" t="inlineStr">
        <is>
          <t>ZC000020</t>
        </is>
      </c>
      <c r="C127" s="13" t="inlineStr">
        <is>
          <t>食品类</t>
        </is>
      </c>
      <c r="D127" s="26" t="inlineStr">
        <is>
          <t>折耳根</t>
        </is>
      </c>
      <c r="E127" s="26" t="n"/>
      <c r="F127" s="26" t="inlineStr">
        <is>
          <t>斤</t>
        </is>
      </c>
      <c r="G127" s="17" t="n">
        <v>0</v>
      </c>
      <c r="H127" s="17" t="n">
        <v>0</v>
      </c>
      <c r="I127" s="17" t="n">
        <v>0</v>
      </c>
      <c r="J127" s="17" t="n">
        <v>2.8</v>
      </c>
      <c r="K127" s="17" t="n">
        <v>6.07142857142857</v>
      </c>
      <c r="L127" s="17" t="n">
        <v>17</v>
      </c>
      <c r="M127" s="17">
        <f>G127+J127</f>
        <v/>
      </c>
      <c r="N127" s="17">
        <f>O127/M127</f>
        <v/>
      </c>
      <c r="O127" s="17">
        <f>I127+L127</f>
        <v/>
      </c>
    </row>
    <row r="128">
      <c r="A128" s="6" t="n">
        <v>125</v>
      </c>
      <c r="B128" s="9" t="inlineStr">
        <is>
          <t>ZC000021</t>
        </is>
      </c>
      <c r="C128" s="13" t="inlineStr">
        <is>
          <t>食品类</t>
        </is>
      </c>
      <c r="D128" s="26" t="inlineStr">
        <is>
          <t>生抽</t>
        </is>
      </c>
      <c r="E128" s="26" t="n"/>
      <c r="F128" s="26" t="inlineStr">
        <is>
          <t>桶</t>
        </is>
      </c>
      <c r="G128" s="17" t="n">
        <v>0</v>
      </c>
      <c r="H128" s="17" t="n">
        <v>0</v>
      </c>
      <c r="I128" s="17" t="n">
        <v>0</v>
      </c>
      <c r="J128" s="17" t="n">
        <v>1</v>
      </c>
      <c r="K128" s="17" t="n">
        <v>13</v>
      </c>
      <c r="L128" s="17" t="n">
        <v>13</v>
      </c>
      <c r="M128" s="17">
        <f>G128+J128</f>
        <v/>
      </c>
      <c r="N128" s="17">
        <f>O128/M128</f>
        <v/>
      </c>
      <c r="O128" s="17">
        <f>I128+L128</f>
        <v/>
      </c>
    </row>
    <row r="129">
      <c r="A129" s="6" t="n">
        <v>126</v>
      </c>
      <c r="B129" s="9" t="inlineStr">
        <is>
          <t>ZC000022</t>
        </is>
      </c>
      <c r="C129" s="13" t="inlineStr">
        <is>
          <t>食品类</t>
        </is>
      </c>
      <c r="D129" s="26" t="inlineStr">
        <is>
          <t>佬米酒</t>
        </is>
      </c>
      <c r="E129" s="26" t="n"/>
      <c r="F129" s="26" t="inlineStr">
        <is>
          <t>瓶</t>
        </is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e">
        <v>#DIV/0!</v>
      </c>
      <c r="L129" s="17" t="n">
        <v>0</v>
      </c>
      <c r="M129" s="17">
        <f>G129+J129</f>
        <v/>
      </c>
      <c r="N129" s="17">
        <f>O129/M129</f>
        <v/>
      </c>
      <c r="O129" s="17">
        <f>I129+L129</f>
        <v/>
      </c>
    </row>
    <row r="130">
      <c r="A130" s="6" t="n">
        <v>127</v>
      </c>
      <c r="B130" s="9" t="inlineStr">
        <is>
          <t>ZC000023</t>
        </is>
      </c>
      <c r="C130" s="13" t="inlineStr">
        <is>
          <t>食品类</t>
        </is>
      </c>
      <c r="D130" s="26" t="inlineStr">
        <is>
          <t>黄金豆</t>
        </is>
      </c>
      <c r="E130" s="26" t="n"/>
      <c r="F130" s="26" t="inlineStr">
        <is>
          <t>包</t>
        </is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e">
        <v>#DIV/0!</v>
      </c>
      <c r="L130" s="17" t="n">
        <v>0</v>
      </c>
      <c r="M130" s="17">
        <f>G130+J130</f>
        <v/>
      </c>
      <c r="N130" s="17">
        <f>O130/M130</f>
        <v/>
      </c>
      <c r="O130" s="17">
        <f>I130+L130</f>
        <v/>
      </c>
    </row>
    <row r="131">
      <c r="A131" s="6" t="n">
        <v>128</v>
      </c>
      <c r="B131" s="9" t="inlineStr">
        <is>
          <t>ZC000024</t>
        </is>
      </c>
      <c r="C131" s="13" t="inlineStr">
        <is>
          <t>食品类</t>
        </is>
      </c>
      <c r="D131" s="26" t="inlineStr">
        <is>
          <t>思念小汤圆</t>
        </is>
      </c>
      <c r="E131" s="26" t="n"/>
      <c r="F131" s="26" t="inlineStr">
        <is>
          <t>包</t>
        </is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e">
        <v>#DIV/0!</v>
      </c>
      <c r="L131" s="17" t="n">
        <v>0</v>
      </c>
      <c r="M131" s="17">
        <f>G131+J131</f>
        <v/>
      </c>
      <c r="N131" s="17">
        <f>O131/M131</f>
        <v/>
      </c>
      <c r="O131" s="17">
        <f>I131+L131</f>
        <v/>
      </c>
    </row>
    <row r="132">
      <c r="A132" s="6" t="n">
        <v>129</v>
      </c>
      <c r="B132" s="9" t="inlineStr">
        <is>
          <t>YH000001</t>
        </is>
      </c>
      <c r="C132" s="13" t="inlineStr">
        <is>
          <t>易耗品</t>
        </is>
      </c>
      <c r="D132" s="13" t="inlineStr">
        <is>
          <t>密胺洗洁精</t>
        </is>
      </c>
      <c r="E132" s="26" t="n"/>
      <c r="F132" s="13" t="inlineStr">
        <is>
          <t>袋</t>
        </is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e">
        <v>#DIV/0!</v>
      </c>
      <c r="L132" s="17" t="n">
        <v>0</v>
      </c>
      <c r="M132" s="17">
        <f>G132+J132</f>
        <v/>
      </c>
      <c r="N132" s="17">
        <f>O132/M132</f>
        <v/>
      </c>
      <c r="O132" s="17">
        <f>I132+L132</f>
        <v/>
      </c>
    </row>
    <row r="133">
      <c r="A133" s="6" t="n">
        <v>130</v>
      </c>
      <c r="B133" s="9" t="inlineStr">
        <is>
          <t>YH000002</t>
        </is>
      </c>
      <c r="C133" s="13" t="inlineStr">
        <is>
          <t>易耗品</t>
        </is>
      </c>
      <c r="D133" s="13" t="inlineStr">
        <is>
          <t>大保鲜盒</t>
        </is>
      </c>
      <c r="E133" s="26" t="n"/>
      <c r="F133" s="13" t="inlineStr">
        <is>
          <t>只</t>
        </is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e">
        <v>#DIV/0!</v>
      </c>
      <c r="L133" s="17" t="n">
        <v>0</v>
      </c>
      <c r="M133" s="17">
        <f>G133+J133</f>
        <v/>
      </c>
      <c r="N133" s="17">
        <f>O133/M133</f>
        <v/>
      </c>
      <c r="O133" s="17">
        <f>I133+L133</f>
        <v/>
      </c>
    </row>
    <row r="134">
      <c r="A134" s="6" t="n">
        <v>131</v>
      </c>
      <c r="B134" s="9" t="inlineStr">
        <is>
          <t>YH000003</t>
        </is>
      </c>
      <c r="C134" s="13" t="inlineStr">
        <is>
          <t>易耗品</t>
        </is>
      </c>
      <c r="D134" s="13" t="inlineStr">
        <is>
          <t>中保鲜盒</t>
        </is>
      </c>
      <c r="E134" s="26" t="n"/>
      <c r="F134" s="13" t="inlineStr">
        <is>
          <t>只</t>
        </is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e">
        <v>#DIV/0!</v>
      </c>
      <c r="L134" s="17" t="n">
        <v>0</v>
      </c>
      <c r="M134" s="17">
        <f>G134+J134</f>
        <v/>
      </c>
      <c r="N134" s="17">
        <f>O134/M134</f>
        <v/>
      </c>
      <c r="O134" s="17">
        <f>I134+L134</f>
        <v/>
      </c>
    </row>
    <row r="135">
      <c r="A135" s="6" t="n">
        <v>132</v>
      </c>
      <c r="B135" s="9" t="inlineStr">
        <is>
          <t>YH000004</t>
        </is>
      </c>
      <c r="C135" s="13" t="inlineStr">
        <is>
          <t>易耗品</t>
        </is>
      </c>
      <c r="D135" s="13" t="inlineStr">
        <is>
          <t>40内直径钢铜</t>
        </is>
      </c>
      <c r="E135" s="26" t="n"/>
      <c r="F135" s="13" t="inlineStr">
        <is>
          <t>只</t>
        </is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e">
        <v>#DIV/0!</v>
      </c>
      <c r="L135" s="17" t="n">
        <v>0</v>
      </c>
      <c r="M135" s="17">
        <f>G135+J135</f>
        <v/>
      </c>
      <c r="N135" s="17">
        <f>O135/M135</f>
        <v/>
      </c>
      <c r="O135" s="17">
        <f>I135+L135</f>
        <v/>
      </c>
    </row>
    <row r="136">
      <c r="A136" s="6" t="n">
        <v>133</v>
      </c>
      <c r="B136" s="9" t="inlineStr">
        <is>
          <t>YH000005</t>
        </is>
      </c>
      <c r="C136" s="13" t="inlineStr">
        <is>
          <t>易耗品</t>
        </is>
      </c>
      <c r="D136" s="13" t="inlineStr">
        <is>
          <t>一次性筷子</t>
        </is>
      </c>
      <c r="E136" s="26" t="n"/>
      <c r="F136" s="13" t="inlineStr">
        <is>
          <t>把</t>
        </is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e">
        <v>#DIV/0!</v>
      </c>
      <c r="L136" s="17" t="n">
        <v>0</v>
      </c>
      <c r="M136" s="17">
        <f>G136+J136</f>
        <v/>
      </c>
      <c r="N136" s="17">
        <f>O136/M136</f>
        <v/>
      </c>
      <c r="O136" s="17">
        <f>I136+L136</f>
        <v/>
      </c>
    </row>
    <row r="137">
      <c r="A137" s="6" t="n">
        <v>134</v>
      </c>
      <c r="B137" s="9" t="inlineStr">
        <is>
          <t>YH000006</t>
        </is>
      </c>
      <c r="C137" s="13" t="inlineStr">
        <is>
          <t>易耗品</t>
        </is>
      </c>
      <c r="D137" s="26" t="inlineStr">
        <is>
          <t>吸管</t>
        </is>
      </c>
      <c r="E137" s="26" t="n"/>
      <c r="F137" s="26" t="inlineStr">
        <is>
          <t>包</t>
        </is>
      </c>
      <c r="G137" s="17" t="n">
        <v>0</v>
      </c>
      <c r="H137" s="17" t="n">
        <v>0</v>
      </c>
      <c r="I137" s="17" t="n">
        <v>0</v>
      </c>
      <c r="J137" s="17" t="n">
        <v>2</v>
      </c>
      <c r="K137" s="17" t="n">
        <v>3</v>
      </c>
      <c r="L137" s="17" t="n">
        <v>6</v>
      </c>
      <c r="M137" s="17">
        <f>G137+J137</f>
        <v/>
      </c>
      <c r="N137" s="17">
        <f>O137/M137</f>
        <v/>
      </c>
      <c r="O137" s="17">
        <f>I137+L137</f>
        <v/>
      </c>
    </row>
    <row r="138">
      <c r="A138" s="6" t="n">
        <v>135</v>
      </c>
      <c r="B138" s="9" t="inlineStr">
        <is>
          <t>YH000007</t>
        </is>
      </c>
      <c r="C138" s="13" t="inlineStr">
        <is>
          <t>易耗品</t>
        </is>
      </c>
      <c r="D138" s="26" t="inlineStr">
        <is>
          <t>中垃圾袋</t>
        </is>
      </c>
      <c r="E138" s="26" t="n"/>
      <c r="F138" s="26" t="inlineStr">
        <is>
          <t>包</t>
        </is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e">
        <v>#DIV/0!</v>
      </c>
      <c r="L138" s="17" t="n">
        <v>0</v>
      </c>
      <c r="M138" s="17">
        <f>G138+J138</f>
        <v/>
      </c>
      <c r="N138" s="17">
        <f>O138/M138</f>
        <v/>
      </c>
      <c r="O138" s="17">
        <f>I138+L138</f>
        <v/>
      </c>
    </row>
    <row r="139">
      <c r="A139" s="6" t="n">
        <v>136</v>
      </c>
      <c r="B139" s="9" t="inlineStr">
        <is>
          <t>YH000008</t>
        </is>
      </c>
      <c r="C139" s="13" t="inlineStr">
        <is>
          <t>易耗品</t>
        </is>
      </c>
      <c r="D139" s="15" t="inlineStr">
        <is>
          <t>雨靴（39、41码）</t>
        </is>
      </c>
      <c r="E139" s="26" t="n"/>
      <c r="F139" s="13" t="inlineStr">
        <is>
          <t>双</t>
        </is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e">
        <v>#DIV/0!</v>
      </c>
      <c r="L139" s="17" t="n">
        <v>0</v>
      </c>
      <c r="M139" s="17">
        <f>G139+J139</f>
        <v/>
      </c>
      <c r="N139" s="17">
        <f>O139/M139</f>
        <v/>
      </c>
      <c r="O139" s="17">
        <f>I139+L139</f>
        <v/>
      </c>
    </row>
    <row r="140">
      <c r="A140" s="6" t="n">
        <v>137</v>
      </c>
      <c r="B140" s="9" t="inlineStr">
        <is>
          <t>YH000009</t>
        </is>
      </c>
      <c r="C140" s="13" t="inlineStr">
        <is>
          <t>易耗品</t>
        </is>
      </c>
      <c r="D140" s="13" t="inlineStr">
        <is>
          <t>百洁布</t>
        </is>
      </c>
      <c r="E140" s="26" t="n"/>
      <c r="F140" s="13" t="inlineStr">
        <is>
          <t>卷</t>
        </is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e">
        <v>#DIV/0!</v>
      </c>
      <c r="L140" s="17" t="n">
        <v>0</v>
      </c>
      <c r="M140" s="17">
        <f>G140+J140</f>
        <v/>
      </c>
      <c r="N140" s="17">
        <f>O140/M140</f>
        <v/>
      </c>
      <c r="O140" s="17">
        <f>I140+L140</f>
        <v/>
      </c>
    </row>
    <row r="141">
      <c r="A141" s="6" t="n">
        <v>138</v>
      </c>
      <c r="B141" s="9" t="inlineStr">
        <is>
          <t>YH000010</t>
        </is>
      </c>
      <c r="C141" s="13" t="inlineStr">
        <is>
          <t>易耗品</t>
        </is>
      </c>
      <c r="D141" s="13" t="inlineStr">
        <is>
          <t>保鲜袋</t>
        </is>
      </c>
      <c r="E141" s="26" t="n"/>
      <c r="F141" s="13" t="inlineStr">
        <is>
          <t>卷</t>
        </is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e">
        <v>#DIV/0!</v>
      </c>
      <c r="L141" s="17" t="n">
        <v>0</v>
      </c>
      <c r="M141" s="17">
        <f>G141+J141</f>
        <v/>
      </c>
      <c r="N141" s="17">
        <f>O141/M141</f>
        <v/>
      </c>
      <c r="O141" s="17">
        <f>I141+L141</f>
        <v/>
      </c>
    </row>
    <row r="142">
      <c r="A142" s="6" t="n">
        <v>139</v>
      </c>
      <c r="B142" s="9" t="inlineStr">
        <is>
          <t>ZC000025</t>
        </is>
      </c>
      <c r="C142" s="13" t="inlineStr">
        <is>
          <t>食品类</t>
        </is>
      </c>
      <c r="D142" s="26" t="inlineStr">
        <is>
          <t>陈醋</t>
        </is>
      </c>
      <c r="E142" s="26" t="n"/>
      <c r="F142" s="26" t="inlineStr">
        <is>
          <t>瓶</t>
        </is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e">
        <v>#DIV/0!</v>
      </c>
      <c r="L142" s="17" t="n">
        <v>0</v>
      </c>
      <c r="M142" s="17">
        <f>G142+J142</f>
        <v/>
      </c>
      <c r="N142" s="17">
        <f>O142/M142</f>
        <v/>
      </c>
      <c r="O142" s="17">
        <f>I142+L142</f>
        <v/>
      </c>
    </row>
    <row r="143">
      <c r="A143" s="6" t="n">
        <v>140</v>
      </c>
      <c r="B143" s="9" t="inlineStr">
        <is>
          <t>YH000011</t>
        </is>
      </c>
      <c r="C143" s="13" t="inlineStr">
        <is>
          <t>易耗品</t>
        </is>
      </c>
      <c r="D143" s="13" t="inlineStr">
        <is>
          <t>大垃圾袋</t>
        </is>
      </c>
      <c r="E143" s="26" t="n"/>
      <c r="F143" s="13" t="inlineStr">
        <is>
          <t>只</t>
        </is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e">
        <v>#DIV/0!</v>
      </c>
      <c r="L143" s="17" t="n">
        <v>0</v>
      </c>
      <c r="M143" s="17">
        <f>G143+J143</f>
        <v/>
      </c>
      <c r="N143" s="17">
        <f>O143/M143</f>
        <v/>
      </c>
      <c r="O143" s="17">
        <f>I143+L143</f>
        <v/>
      </c>
    </row>
    <row r="144">
      <c r="A144" s="6" t="n">
        <v>141</v>
      </c>
      <c r="B144" s="9" t="inlineStr">
        <is>
          <t>YH000012</t>
        </is>
      </c>
      <c r="C144" s="13" t="inlineStr">
        <is>
          <t>易耗品</t>
        </is>
      </c>
      <c r="D144" s="26" t="inlineStr">
        <is>
          <t>煲汤袋</t>
        </is>
      </c>
      <c r="E144" s="26" t="n"/>
      <c r="F144" s="26" t="inlineStr">
        <is>
          <t>包</t>
        </is>
      </c>
      <c r="G144" s="6" t="n">
        <v>0</v>
      </c>
      <c r="H144" s="17" t="n">
        <v>0</v>
      </c>
      <c r="I144" s="6" t="n">
        <v>0</v>
      </c>
      <c r="J144" s="17" t="n">
        <v>8</v>
      </c>
      <c r="K144" s="17" t="n">
        <v>9</v>
      </c>
      <c r="L144" s="17" t="n">
        <v>72</v>
      </c>
      <c r="M144" s="17">
        <f>G144+J144</f>
        <v/>
      </c>
      <c r="N144" s="17">
        <f>O144/M144</f>
        <v/>
      </c>
      <c r="O144" s="17">
        <f>I144+L144</f>
        <v/>
      </c>
    </row>
    <row r="145">
      <c r="A145" s="6" t="n">
        <v>142</v>
      </c>
      <c r="B145" s="9" t="inlineStr">
        <is>
          <t>ZC000026</t>
        </is>
      </c>
      <c r="C145" s="13" t="inlineStr">
        <is>
          <t>食品类</t>
        </is>
      </c>
      <c r="D145" s="26" t="inlineStr">
        <is>
          <t>耗油</t>
        </is>
      </c>
      <c r="E145" s="26" t="n"/>
      <c r="F145" s="26" t="inlineStr">
        <is>
          <t>瓶</t>
        </is>
      </c>
      <c r="G145" s="17" t="n">
        <v>0</v>
      </c>
      <c r="H145" s="17" t="n">
        <v>0</v>
      </c>
      <c r="I145" s="17" t="n">
        <v>0</v>
      </c>
      <c r="J145" s="17" t="n">
        <v>1</v>
      </c>
      <c r="K145" s="17" t="n">
        <v>8</v>
      </c>
      <c r="L145" s="17" t="n">
        <v>8</v>
      </c>
      <c r="M145" s="17">
        <f>G145+J145</f>
        <v/>
      </c>
      <c r="N145" s="17">
        <f>O145/M145</f>
        <v/>
      </c>
      <c r="O145" s="17">
        <f>I145+L145</f>
        <v/>
      </c>
    </row>
    <row r="146">
      <c r="A146" s="6" t="n">
        <v>143</v>
      </c>
      <c r="B146" s="9" t="inlineStr">
        <is>
          <t>YH000013</t>
        </is>
      </c>
      <c r="C146" s="13" t="inlineStr">
        <is>
          <t>易耗品</t>
        </is>
      </c>
      <c r="D146" s="26" t="inlineStr">
        <is>
          <t>一次性勺子</t>
        </is>
      </c>
      <c r="E146" s="26" t="n"/>
      <c r="F146" s="26" t="inlineStr">
        <is>
          <t>包</t>
        </is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e">
        <v>#DIV/0!</v>
      </c>
      <c r="L146" s="17" t="n">
        <v>0</v>
      </c>
      <c r="M146" s="17">
        <f>G146+J146</f>
        <v/>
      </c>
      <c r="N146" s="17">
        <f>O146/M146</f>
        <v/>
      </c>
      <c r="O146" s="17">
        <f>I146+L146</f>
        <v/>
      </c>
    </row>
    <row r="147">
      <c r="A147" s="6" t="n">
        <v>144</v>
      </c>
      <c r="B147" s="9" t="inlineStr">
        <is>
          <t>YH000014</t>
        </is>
      </c>
      <c r="C147" s="13" t="inlineStr">
        <is>
          <t>易耗品</t>
        </is>
      </c>
      <c r="D147" s="26" t="inlineStr">
        <is>
          <t>PVC手套</t>
        </is>
      </c>
      <c r="E147" s="26" t="n"/>
      <c r="F147" s="26" t="inlineStr">
        <is>
          <t>盒</t>
        </is>
      </c>
      <c r="G147" s="17" t="n">
        <v>0</v>
      </c>
      <c r="H147" s="17" t="n">
        <v>0</v>
      </c>
      <c r="I147" s="17" t="n">
        <v>0</v>
      </c>
      <c r="J147" s="17" t="n">
        <v>3</v>
      </c>
      <c r="K147" s="17" t="n">
        <v>26.9</v>
      </c>
      <c r="L147" s="17" t="n">
        <v>80.7</v>
      </c>
      <c r="M147" s="17">
        <f>G147+J147</f>
        <v/>
      </c>
      <c r="N147" s="17">
        <f>O147/M147</f>
        <v/>
      </c>
      <c r="O147" s="17">
        <f>I147+L147</f>
        <v/>
      </c>
    </row>
    <row r="148">
      <c r="A148" s="6" t="n">
        <v>145</v>
      </c>
      <c r="B148" s="9" t="inlineStr">
        <is>
          <t>YH000015</t>
        </is>
      </c>
      <c r="C148" s="13" t="inlineStr">
        <is>
          <t>易耗品</t>
        </is>
      </c>
      <c r="D148" s="13" t="inlineStr">
        <is>
          <t>洗涤剂2桶/袋</t>
        </is>
      </c>
      <c r="F148" s="13" t="inlineStr">
        <is>
          <t>袋</t>
        </is>
      </c>
      <c r="G148" s="17" t="n">
        <v>0</v>
      </c>
      <c r="H148" s="17" t="n">
        <v>0</v>
      </c>
      <c r="I148" s="17" t="n">
        <v>0</v>
      </c>
      <c r="J148" s="10" t="n">
        <v>0</v>
      </c>
      <c r="K148" s="10" t="e">
        <v>#DIV/0!</v>
      </c>
      <c r="L148" s="10" t="n">
        <v>0</v>
      </c>
      <c r="M148" s="17">
        <f>G148+J148</f>
        <v/>
      </c>
      <c r="N148" s="17">
        <f>O148/M148</f>
        <v/>
      </c>
      <c r="O148" s="17">
        <f>I148+L148</f>
        <v/>
      </c>
    </row>
    <row r="149">
      <c r="A149" s="6" t="n">
        <v>146</v>
      </c>
      <c r="B149" s="9" t="inlineStr">
        <is>
          <t>ZC000027</t>
        </is>
      </c>
      <c r="C149" s="13" t="inlineStr">
        <is>
          <t>食品类</t>
        </is>
      </c>
      <c r="D149" s="26" t="inlineStr">
        <is>
          <t>鸡毛菜</t>
        </is>
      </c>
      <c r="E149" s="26" t="n"/>
      <c r="F149" s="26" t="inlineStr">
        <is>
          <t>斤</t>
        </is>
      </c>
      <c r="G149" s="6" t="n">
        <v>3.5</v>
      </c>
      <c r="H149" s="17" t="n">
        <v>4</v>
      </c>
      <c r="I149" s="6" t="n">
        <v>14</v>
      </c>
      <c r="J149" s="17" t="n">
        <v>114.8</v>
      </c>
      <c r="K149" s="17" t="n">
        <v>4.03310104529617</v>
      </c>
      <c r="L149" s="17" t="n">
        <v>463</v>
      </c>
      <c r="M149" s="17">
        <f>G149+J149</f>
        <v/>
      </c>
      <c r="N149" s="17">
        <f>O149/M149</f>
        <v/>
      </c>
      <c r="O149" s="17">
        <f>I149+L149</f>
        <v/>
      </c>
    </row>
    <row r="150">
      <c r="A150" s="6" t="n">
        <v>147</v>
      </c>
      <c r="B150" s="9" t="inlineStr">
        <is>
          <t>ZC000028</t>
        </is>
      </c>
      <c r="C150" s="13" t="inlineStr">
        <is>
          <t>食品类</t>
        </is>
      </c>
      <c r="D150" s="26" t="inlineStr">
        <is>
          <t>特级白胡椒粉</t>
        </is>
      </c>
      <c r="E150" s="26" t="n"/>
      <c r="F150" s="26" t="inlineStr">
        <is>
          <t>斤</t>
        </is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e">
        <v>#DIV/0!</v>
      </c>
      <c r="L150" s="17" t="n">
        <v>0</v>
      </c>
      <c r="M150" s="17">
        <f>G150+J150</f>
        <v/>
      </c>
      <c r="N150" s="17">
        <f>O150/M150</f>
        <v/>
      </c>
      <c r="O150" s="17">
        <f>I150+L150</f>
        <v/>
      </c>
    </row>
    <row r="151">
      <c r="A151" s="6" t="n">
        <v>148</v>
      </c>
      <c r="B151" s="9" t="inlineStr">
        <is>
          <t>ZC000029</t>
        </is>
      </c>
      <c r="C151" s="13" t="inlineStr">
        <is>
          <t>食品类</t>
        </is>
      </c>
      <c r="D151" s="26" t="inlineStr">
        <is>
          <t>蒜头</t>
        </is>
      </c>
      <c r="E151" s="26" t="n"/>
      <c r="F151" s="26" t="inlineStr">
        <is>
          <t>斤</t>
        </is>
      </c>
      <c r="G151" s="17" t="n">
        <v>0</v>
      </c>
      <c r="H151" s="17" t="n">
        <v>0</v>
      </c>
      <c r="I151" s="17" t="n">
        <v>0</v>
      </c>
      <c r="J151" s="17" t="n">
        <v>7.3</v>
      </c>
      <c r="K151" s="17" t="n">
        <v>5.75342465753425</v>
      </c>
      <c r="L151" s="17" t="n">
        <v>42</v>
      </c>
      <c r="M151" s="17">
        <f>G151+J151</f>
        <v/>
      </c>
      <c r="N151" s="17">
        <f>O151/M151</f>
        <v/>
      </c>
      <c r="O151" s="17">
        <f>I151+L151</f>
        <v/>
      </c>
    </row>
    <row r="152">
      <c r="A152" s="6" t="n">
        <v>149</v>
      </c>
      <c r="B152" s="9" t="inlineStr">
        <is>
          <t>ZC000030</t>
        </is>
      </c>
      <c r="C152" s="13" t="inlineStr">
        <is>
          <t>食品类</t>
        </is>
      </c>
      <c r="D152" s="26" t="inlineStr">
        <is>
          <t>宏斌小米辣</t>
        </is>
      </c>
      <c r="E152" s="26" t="n"/>
      <c r="F152" s="26" t="inlineStr">
        <is>
          <t>件</t>
        </is>
      </c>
      <c r="G152" s="17" t="n">
        <v>0</v>
      </c>
      <c r="H152" s="17" t="n">
        <v>0</v>
      </c>
      <c r="I152" s="17" t="n">
        <v>0</v>
      </c>
      <c r="J152" s="17" t="n">
        <v>9.6</v>
      </c>
      <c r="K152" s="17" t="n">
        <v>11.3541666666667</v>
      </c>
      <c r="L152" s="17" t="n">
        <v>109</v>
      </c>
      <c r="M152" s="17">
        <f>G152+J152</f>
        <v/>
      </c>
      <c r="N152" s="17">
        <f>O152/M152</f>
        <v/>
      </c>
      <c r="O152" s="17">
        <f>I152+L152</f>
        <v/>
      </c>
    </row>
    <row r="153">
      <c r="A153" s="6" t="n">
        <v>150</v>
      </c>
      <c r="B153" s="9" t="inlineStr">
        <is>
          <t>ZC000031</t>
        </is>
      </c>
      <c r="C153" s="13" t="inlineStr">
        <is>
          <t>食品类</t>
        </is>
      </c>
      <c r="D153" s="26" t="inlineStr">
        <is>
          <t>茴香粉</t>
        </is>
      </c>
      <c r="E153" s="26" t="n"/>
      <c r="F153" s="26" t="inlineStr">
        <is>
          <t>斤</t>
        </is>
      </c>
      <c r="G153" s="17" t="n">
        <v>0</v>
      </c>
      <c r="H153" s="17" t="n">
        <v>0</v>
      </c>
      <c r="I153" s="17" t="n">
        <v>0</v>
      </c>
      <c r="J153" s="17" t="n">
        <v>3.5</v>
      </c>
      <c r="K153" s="17" t="n">
        <v>16.8571428571429</v>
      </c>
      <c r="L153" s="17" t="n">
        <v>59</v>
      </c>
      <c r="M153" s="17">
        <f>G153+J153</f>
        <v/>
      </c>
      <c r="N153" s="17">
        <f>O153/M153</f>
        <v/>
      </c>
      <c r="O153" s="17">
        <f>I153+L153</f>
        <v/>
      </c>
    </row>
    <row r="154">
      <c r="A154" s="6" t="n">
        <v>151</v>
      </c>
      <c r="B154" s="9" t="inlineStr">
        <is>
          <t>ZC000032</t>
        </is>
      </c>
      <c r="C154" s="13" t="inlineStr">
        <is>
          <t>食品类</t>
        </is>
      </c>
      <c r="D154" s="26" t="inlineStr">
        <is>
          <t>老红糖</t>
        </is>
      </c>
      <c r="E154" s="26" t="n"/>
      <c r="F154" s="26" t="inlineStr">
        <is>
          <t>包</t>
        </is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e">
        <v>#DIV/0!</v>
      </c>
      <c r="L154" s="17" t="n">
        <v>0</v>
      </c>
      <c r="M154" s="17">
        <f>G154+J154</f>
        <v/>
      </c>
      <c r="N154" s="17">
        <f>O154/M154</f>
        <v/>
      </c>
      <c r="O154" s="17">
        <f>I154+L154</f>
        <v/>
      </c>
    </row>
    <row r="155">
      <c r="A155" s="6" t="n">
        <v>152</v>
      </c>
      <c r="B155" s="9" t="inlineStr">
        <is>
          <t>ZC000033</t>
        </is>
      </c>
      <c r="C155" s="13" t="inlineStr">
        <is>
          <t>食品类</t>
        </is>
      </c>
      <c r="D155" s="26" t="inlineStr">
        <is>
          <t>枸杞 500g</t>
        </is>
      </c>
      <c r="E155" s="26" t="n"/>
      <c r="F155" s="26" t="inlineStr">
        <is>
          <t>袋</t>
        </is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e">
        <v>#DIV/0!</v>
      </c>
      <c r="L155" s="17" t="n">
        <v>0</v>
      </c>
      <c r="M155" s="17">
        <f>G155+J155</f>
        <v/>
      </c>
      <c r="N155" s="17">
        <f>O155/M155</f>
        <v/>
      </c>
      <c r="O155" s="17">
        <f>I155+L155</f>
        <v/>
      </c>
    </row>
    <row r="156">
      <c r="A156" s="6" t="n">
        <v>153</v>
      </c>
      <c r="B156" s="9" t="inlineStr">
        <is>
          <t>ZC000034</t>
        </is>
      </c>
      <c r="C156" s="13" t="inlineStr">
        <is>
          <t>食品类</t>
        </is>
      </c>
      <c r="D156" s="26" t="inlineStr">
        <is>
          <t>恒顺陈醋</t>
        </is>
      </c>
      <c r="E156" s="26" t="n"/>
      <c r="F156" s="26" t="inlineStr">
        <is>
          <t>件</t>
        </is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e">
        <v>#DIV/0!</v>
      </c>
      <c r="L156" s="17" t="n">
        <v>0</v>
      </c>
      <c r="M156" s="17">
        <f>G156+J156</f>
        <v/>
      </c>
      <c r="N156" s="17">
        <f>O156/M156</f>
        <v/>
      </c>
      <c r="O156" s="17">
        <f>I156+L156</f>
        <v/>
      </c>
    </row>
    <row r="157" ht="27" customHeight="1" s="3">
      <c r="A157" s="6" t="n">
        <v>154</v>
      </c>
      <c r="B157" s="9" t="inlineStr">
        <is>
          <t>ZC000035</t>
        </is>
      </c>
      <c r="C157" s="13" t="inlineStr">
        <is>
          <t>食品类</t>
        </is>
      </c>
      <c r="D157" s="26" t="inlineStr">
        <is>
          <t>鲜味生抽 1.9升</t>
        </is>
      </c>
      <c r="E157" s="26" t="n"/>
      <c r="F157" s="26" t="inlineStr">
        <is>
          <t>桶</t>
        </is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e">
        <v>#DIV/0!</v>
      </c>
      <c r="L157" s="17" t="n">
        <v>0</v>
      </c>
      <c r="M157" s="17">
        <f>G157+J157</f>
        <v/>
      </c>
      <c r="N157" s="17">
        <f>O157/M157</f>
        <v/>
      </c>
      <c r="O157" s="17">
        <f>I157+L157</f>
        <v/>
      </c>
    </row>
    <row r="158">
      <c r="A158" s="6" t="n">
        <v>155</v>
      </c>
      <c r="B158" s="9" t="inlineStr">
        <is>
          <t>ZC000036</t>
        </is>
      </c>
      <c r="C158" s="13" t="inlineStr">
        <is>
          <t>食品类</t>
        </is>
      </c>
      <c r="D158" s="26" t="inlineStr">
        <is>
          <t>青花椒粉</t>
        </is>
      </c>
      <c r="E158" s="26" t="n"/>
      <c r="F158" s="26" t="inlineStr">
        <is>
          <t>斤</t>
        </is>
      </c>
      <c r="G158" s="17" t="n">
        <v>0</v>
      </c>
      <c r="H158" s="17" t="n">
        <v>0</v>
      </c>
      <c r="I158" s="17" t="n">
        <v>0</v>
      </c>
      <c r="J158" s="17" t="n">
        <v>2.2</v>
      </c>
      <c r="K158" s="17" t="n">
        <v>19.5454545454545</v>
      </c>
      <c r="L158" s="17" t="n">
        <v>43</v>
      </c>
      <c r="M158" s="17">
        <f>G158+J158</f>
        <v/>
      </c>
      <c r="N158" s="17">
        <f>O158/M158</f>
        <v/>
      </c>
      <c r="O158" s="17">
        <f>I158+L158</f>
        <v/>
      </c>
    </row>
    <row r="159">
      <c r="A159" s="6" t="n">
        <v>156</v>
      </c>
      <c r="B159" s="9" t="inlineStr">
        <is>
          <t>ZC000037</t>
        </is>
      </c>
      <c r="C159" s="13" t="inlineStr">
        <is>
          <t>食品类</t>
        </is>
      </c>
      <c r="D159" s="26" t="inlineStr">
        <is>
          <t>20升 食用油</t>
        </is>
      </c>
      <c r="E159" s="26" t="n"/>
      <c r="F159" s="26" t="inlineStr">
        <is>
          <t>件</t>
        </is>
      </c>
      <c r="G159" s="17" t="n">
        <v>1</v>
      </c>
      <c r="H159" s="17" t="n">
        <v>58</v>
      </c>
      <c r="I159" s="17" t="n">
        <v>58</v>
      </c>
      <c r="J159" s="17" t="n">
        <v>4</v>
      </c>
      <c r="K159" s="17" t="n">
        <v>175</v>
      </c>
      <c r="L159" s="17" t="n">
        <v>700</v>
      </c>
      <c r="M159" s="17">
        <f>G159+J159</f>
        <v/>
      </c>
      <c r="N159" s="17">
        <f>O159/M159</f>
        <v/>
      </c>
      <c r="O159" s="17">
        <f>I159+L159</f>
        <v/>
      </c>
    </row>
    <row r="160">
      <c r="A160" s="6" t="n">
        <v>157</v>
      </c>
      <c r="B160" s="9" t="inlineStr">
        <is>
          <t>ZC000038</t>
        </is>
      </c>
      <c r="C160" s="13" t="inlineStr">
        <is>
          <t>食品类</t>
        </is>
      </c>
      <c r="D160" s="13" t="inlineStr">
        <is>
          <t>麻油</t>
        </is>
      </c>
      <c r="F160" s="13" t="inlineStr">
        <is>
          <t>瓶</t>
        </is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e">
        <v>#DIV/0!</v>
      </c>
      <c r="L160" s="17" t="n">
        <v>0</v>
      </c>
      <c r="M160" s="17">
        <f>G160+J160</f>
        <v/>
      </c>
      <c r="N160" s="17">
        <f>O160/M160</f>
        <v/>
      </c>
      <c r="O160" s="17">
        <f>I160+L160</f>
        <v/>
      </c>
    </row>
    <row r="161">
      <c r="A161" s="6" t="n">
        <v>158</v>
      </c>
      <c r="B161" s="9" t="inlineStr">
        <is>
          <t>ZC000039</t>
        </is>
      </c>
      <c r="C161" s="13" t="inlineStr">
        <is>
          <t>食品类</t>
        </is>
      </c>
      <c r="D161" s="26" t="inlineStr">
        <is>
          <t>十三香</t>
        </is>
      </c>
      <c r="E161" s="26" t="n"/>
      <c r="F161" s="26" t="inlineStr">
        <is>
          <t>盒</t>
        </is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e">
        <v>#DIV/0!</v>
      </c>
      <c r="L161" s="17" t="n">
        <v>0</v>
      </c>
      <c r="M161" s="17">
        <f>G161+J161</f>
        <v/>
      </c>
      <c r="N161" s="17">
        <f>O161/M161</f>
        <v/>
      </c>
      <c r="O161" s="17">
        <f>I161+L161</f>
        <v/>
      </c>
    </row>
    <row r="162">
      <c r="A162" s="6" t="n">
        <v>159</v>
      </c>
      <c r="B162" s="9" t="inlineStr">
        <is>
          <t>ZC000040</t>
        </is>
      </c>
      <c r="C162" s="13" t="inlineStr">
        <is>
          <t>易耗品</t>
        </is>
      </c>
      <c r="D162" s="13" t="inlineStr">
        <is>
          <t>洗涤剂1.118升</t>
        </is>
      </c>
      <c r="E162" s="26" t="n"/>
      <c r="F162" s="13" t="inlineStr">
        <is>
          <t>桶</t>
        </is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e">
        <v>#DIV/0!</v>
      </c>
      <c r="L162" s="17" t="n">
        <v>0</v>
      </c>
      <c r="M162" s="17">
        <f>G162+J162</f>
        <v/>
      </c>
      <c r="N162" s="17">
        <f>O162/M162</f>
        <v/>
      </c>
      <c r="O162" s="17">
        <f>I162+L162</f>
        <v/>
      </c>
    </row>
    <row r="163">
      <c r="A163" s="6" t="n">
        <v>160</v>
      </c>
      <c r="B163" s="9" t="inlineStr">
        <is>
          <t>ZC000041</t>
        </is>
      </c>
      <c r="C163" s="13" t="inlineStr">
        <is>
          <t>食品类</t>
        </is>
      </c>
      <c r="D163" s="26" t="inlineStr">
        <is>
          <t>玉米生粉</t>
        </is>
      </c>
      <c r="E163" s="26" t="n"/>
      <c r="F163" s="26" t="inlineStr">
        <is>
          <t>袋</t>
        </is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e">
        <v>#DIV/0!</v>
      </c>
      <c r="L163" s="17" t="n">
        <v>0</v>
      </c>
      <c r="M163" s="17">
        <f>G163+J163</f>
        <v/>
      </c>
      <c r="N163" s="17">
        <f>O163/M163</f>
        <v/>
      </c>
      <c r="O163" s="17">
        <f>I163+L163</f>
        <v/>
      </c>
    </row>
    <row r="164">
      <c r="A164" s="6" t="n">
        <v>161</v>
      </c>
      <c r="B164" s="9" t="inlineStr">
        <is>
          <t>ZC000042</t>
        </is>
      </c>
      <c r="C164" s="13" t="inlineStr">
        <is>
          <t>食品类</t>
        </is>
      </c>
      <c r="D164" s="26" t="inlineStr">
        <is>
          <t>白砂糖</t>
        </is>
      </c>
      <c r="E164" s="26" t="n"/>
      <c r="F164" s="26" t="inlineStr">
        <is>
          <t>袋</t>
        </is>
      </c>
      <c r="G164" s="17" t="n">
        <v>0</v>
      </c>
      <c r="H164" s="17" t="n">
        <v>0</v>
      </c>
      <c r="I164" s="17" t="n">
        <v>0</v>
      </c>
      <c r="J164" s="17" t="n">
        <v>3</v>
      </c>
      <c r="K164" s="17" t="n">
        <v>4.66666666666667</v>
      </c>
      <c r="L164" s="17" t="n">
        <v>14</v>
      </c>
      <c r="M164" s="17">
        <f>G164+J164</f>
        <v/>
      </c>
      <c r="N164" s="17">
        <f>O164/M164</f>
        <v/>
      </c>
      <c r="O164" s="17">
        <f>I164+L164</f>
        <v/>
      </c>
    </row>
    <row r="165">
      <c r="A165" s="6" t="n">
        <v>162</v>
      </c>
      <c r="B165" s="9" t="inlineStr">
        <is>
          <t>ZC000043</t>
        </is>
      </c>
      <c r="C165" s="13" t="inlineStr">
        <is>
          <t>食品类</t>
        </is>
      </c>
      <c r="D165" s="26" t="inlineStr">
        <is>
          <t>芝麻油</t>
        </is>
      </c>
      <c r="E165" s="26" t="n"/>
      <c r="F165" s="26" t="inlineStr">
        <is>
          <t>瓶</t>
        </is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e">
        <v>#DIV/0!</v>
      </c>
      <c r="L165" s="17" t="n">
        <v>0</v>
      </c>
      <c r="M165" s="17">
        <f>G165+J165</f>
        <v/>
      </c>
      <c r="N165" s="17">
        <f>O165/M165</f>
        <v/>
      </c>
      <c r="O165" s="17">
        <f>I165+L165</f>
        <v/>
      </c>
    </row>
    <row r="166">
      <c r="A166" s="6" t="n">
        <v>163</v>
      </c>
      <c r="B166" s="9" t="inlineStr">
        <is>
          <t>ZC000044</t>
        </is>
      </c>
      <c r="C166" s="13" t="inlineStr">
        <is>
          <t>食品类</t>
        </is>
      </c>
      <c r="D166" s="26" t="inlineStr">
        <is>
          <t>大葱</t>
        </is>
      </c>
      <c r="E166" s="26" t="n"/>
      <c r="F166" s="26" t="inlineStr">
        <is>
          <t>斤</t>
        </is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e">
        <v>#DIV/0!</v>
      </c>
      <c r="L166" s="17" t="n">
        <v>0</v>
      </c>
      <c r="M166" s="17">
        <f>G166+J166</f>
        <v/>
      </c>
      <c r="N166" s="17">
        <f>O166/M166</f>
        <v/>
      </c>
      <c r="O166" s="17">
        <f>I166+L166</f>
        <v/>
      </c>
    </row>
    <row r="167">
      <c r="A167" s="6" t="n">
        <v>164</v>
      </c>
      <c r="B167" s="9" t="inlineStr">
        <is>
          <t>ZC000045</t>
        </is>
      </c>
      <c r="C167" s="13" t="inlineStr">
        <is>
          <t>食品类</t>
        </is>
      </c>
      <c r="D167" s="26" t="inlineStr">
        <is>
          <t>干辣椒</t>
        </is>
      </c>
      <c r="E167" s="26" t="n"/>
      <c r="F167" s="26" t="inlineStr">
        <is>
          <t>斤</t>
        </is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e">
        <v>#DIV/0!</v>
      </c>
      <c r="L167" s="17" t="n">
        <v>0</v>
      </c>
      <c r="M167" s="17">
        <f>G167+J167</f>
        <v/>
      </c>
      <c r="N167" s="17">
        <f>O167/M167</f>
        <v/>
      </c>
      <c r="O167" s="17">
        <f>I167+L167</f>
        <v/>
      </c>
    </row>
    <row r="168">
      <c r="A168" s="6" t="n">
        <v>165</v>
      </c>
      <c r="B168" s="9" t="inlineStr">
        <is>
          <t>ZC000046</t>
        </is>
      </c>
      <c r="C168" s="13" t="inlineStr">
        <is>
          <t>食品类</t>
        </is>
      </c>
      <c r="D168" s="26" t="inlineStr">
        <is>
          <t>冰糖</t>
        </is>
      </c>
      <c r="E168" s="26" t="n"/>
      <c r="F168" s="26" t="inlineStr">
        <is>
          <t>斤</t>
        </is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e">
        <v>#DIV/0!</v>
      </c>
      <c r="L168" s="17" t="n">
        <v>0</v>
      </c>
      <c r="M168" s="17">
        <f>G168+J168</f>
        <v/>
      </c>
      <c r="N168" s="17">
        <f>O168/M168</f>
        <v/>
      </c>
      <c r="O168" s="17">
        <f>I168+L168</f>
        <v/>
      </c>
    </row>
    <row r="169">
      <c r="A169" s="6" t="n">
        <v>166</v>
      </c>
      <c r="B169" s="9" t="inlineStr">
        <is>
          <t>ZC000047</t>
        </is>
      </c>
      <c r="C169" s="13" t="inlineStr">
        <is>
          <t>食品类</t>
        </is>
      </c>
      <c r="D169" s="26" t="inlineStr">
        <is>
          <t>红花椒</t>
        </is>
      </c>
      <c r="E169" s="26" t="n"/>
      <c r="F169" s="26" t="inlineStr">
        <is>
          <t>斤</t>
        </is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e">
        <v>#DIV/0!</v>
      </c>
      <c r="L169" s="17" t="n">
        <v>0</v>
      </c>
      <c r="M169" s="17">
        <f>G169+J169</f>
        <v/>
      </c>
      <c r="N169" s="17">
        <f>O169/M169</f>
        <v/>
      </c>
      <c r="O169" s="17">
        <f>I169+L169</f>
        <v/>
      </c>
    </row>
    <row r="170">
      <c r="A170" s="6" t="n">
        <v>167</v>
      </c>
      <c r="B170" s="9" t="inlineStr">
        <is>
          <t>ZC000048</t>
        </is>
      </c>
      <c r="C170" s="13" t="inlineStr">
        <is>
          <t>食品类</t>
        </is>
      </c>
      <c r="D170" s="26" t="inlineStr">
        <is>
          <t>黄片糖</t>
        </is>
      </c>
      <c r="E170" s="26" t="n"/>
      <c r="F170" s="26" t="inlineStr">
        <is>
          <t>件</t>
        </is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e">
        <v>#DIV/0!</v>
      </c>
      <c r="L170" s="17" t="n">
        <v>0</v>
      </c>
      <c r="M170" s="17">
        <f>G170+J170</f>
        <v/>
      </c>
      <c r="N170" s="17">
        <f>O170/M170</f>
        <v/>
      </c>
      <c r="O170" s="17">
        <f>I170+L170</f>
        <v/>
      </c>
    </row>
    <row r="171">
      <c r="A171" s="6" t="n">
        <v>168</v>
      </c>
      <c r="B171" s="9" t="inlineStr">
        <is>
          <t>ZC000049</t>
        </is>
      </c>
      <c r="C171" s="13" t="inlineStr">
        <is>
          <t>食品类</t>
        </is>
      </c>
      <c r="D171" s="26" t="inlineStr">
        <is>
          <t>芥兰苗</t>
        </is>
      </c>
      <c r="E171" s="26" t="n"/>
      <c r="F171" s="26" t="inlineStr">
        <is>
          <t>袋</t>
        </is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e">
        <v>#DIV/0!</v>
      </c>
      <c r="L171" s="17" t="n">
        <v>0</v>
      </c>
      <c r="M171" s="17">
        <f>G171+J171</f>
        <v/>
      </c>
      <c r="N171" s="17">
        <f>O171/M171</f>
        <v/>
      </c>
      <c r="O171" s="17">
        <f>I171+L171</f>
        <v/>
      </c>
    </row>
    <row r="172">
      <c r="A172" s="6" t="n">
        <v>169</v>
      </c>
      <c r="B172" s="9" t="inlineStr">
        <is>
          <t>YH000023</t>
        </is>
      </c>
      <c r="C172" s="13" t="inlineStr">
        <is>
          <t>易耗品</t>
        </is>
      </c>
      <c r="D172" s="26" t="inlineStr">
        <is>
          <t>挂肉钩</t>
        </is>
      </c>
      <c r="E172" s="26" t="n"/>
      <c r="F172" s="26" t="inlineStr">
        <is>
          <t>个</t>
        </is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e">
        <v>#DIV/0!</v>
      </c>
      <c r="L172" s="17" t="n">
        <v>0</v>
      </c>
      <c r="M172" s="17">
        <f>G172+J172</f>
        <v/>
      </c>
      <c r="N172" s="17">
        <f>O172/M172</f>
        <v/>
      </c>
      <c r="O172" s="17">
        <f>I172+L172</f>
        <v/>
      </c>
    </row>
    <row r="173">
      <c r="A173" s="6" t="n">
        <v>170</v>
      </c>
      <c r="B173" s="9" t="inlineStr">
        <is>
          <t>ZC000050</t>
        </is>
      </c>
      <c r="C173" s="13" t="inlineStr">
        <is>
          <t>食品类</t>
        </is>
      </c>
      <c r="D173" s="26" t="inlineStr">
        <is>
          <t>细面</t>
        </is>
      </c>
      <c r="E173" s="26" t="n"/>
      <c r="F173" s="26" t="inlineStr">
        <is>
          <t>斤</t>
        </is>
      </c>
      <c r="G173" s="6" t="n">
        <v>1</v>
      </c>
      <c r="H173" s="17" t="n">
        <v>3</v>
      </c>
      <c r="I173" s="6" t="n">
        <v>3</v>
      </c>
      <c r="J173" s="17" t="n">
        <v>113</v>
      </c>
      <c r="K173" s="17" t="n">
        <v>3</v>
      </c>
      <c r="L173" s="17" t="n">
        <v>339</v>
      </c>
      <c r="M173" s="17">
        <f>G173+J173</f>
        <v/>
      </c>
      <c r="N173" s="17">
        <f>O173/M173</f>
        <v/>
      </c>
      <c r="O173" s="17">
        <f>I173+L173</f>
        <v/>
      </c>
    </row>
    <row r="174">
      <c r="A174" s="6" t="n">
        <v>171</v>
      </c>
      <c r="B174" s="9" t="inlineStr">
        <is>
          <t>ZC000051</t>
        </is>
      </c>
      <c r="C174" s="13" t="inlineStr">
        <is>
          <t>食品类</t>
        </is>
      </c>
      <c r="D174" s="13" t="inlineStr">
        <is>
          <t>水晶粉丝</t>
        </is>
      </c>
      <c r="E174" s="26" t="n"/>
      <c r="F174" s="13" t="inlineStr">
        <is>
          <t>包</t>
        </is>
      </c>
      <c r="G174" s="17" t="n">
        <v>0</v>
      </c>
      <c r="H174" s="17" t="n">
        <v>0</v>
      </c>
      <c r="I174" s="17" t="n">
        <v>0</v>
      </c>
      <c r="J174" s="17" t="n">
        <v>30</v>
      </c>
      <c r="K174" s="17" t="n">
        <v>1.8</v>
      </c>
      <c r="L174" s="17" t="n">
        <v>54</v>
      </c>
      <c r="M174" s="17">
        <f>G174+J174</f>
        <v/>
      </c>
      <c r="N174" s="17">
        <f>O174/M174</f>
        <v/>
      </c>
      <c r="O174" s="17">
        <f>I174+L174</f>
        <v/>
      </c>
    </row>
    <row r="175">
      <c r="A175" s="6" t="n">
        <v>172</v>
      </c>
      <c r="B175" s="9" t="inlineStr">
        <is>
          <t>ZC000052</t>
        </is>
      </c>
      <c r="C175" s="13" t="inlineStr">
        <is>
          <t>食品类</t>
        </is>
      </c>
      <c r="D175" s="13" t="inlineStr">
        <is>
          <t>千张</t>
        </is>
      </c>
      <c r="E175" s="26" t="n"/>
      <c r="F175" s="13" t="inlineStr">
        <is>
          <t>斤</t>
        </is>
      </c>
      <c r="G175" s="17" t="n">
        <v>0</v>
      </c>
      <c r="H175" s="17" t="n">
        <v>0</v>
      </c>
      <c r="I175" s="17" t="n">
        <v>0</v>
      </c>
      <c r="J175" s="17" t="n">
        <v>10.6</v>
      </c>
      <c r="K175" s="17" t="n">
        <v>5</v>
      </c>
      <c r="L175" s="17" t="n">
        <v>53</v>
      </c>
      <c r="M175" s="17">
        <f>G175+J175</f>
        <v/>
      </c>
      <c r="N175" s="17">
        <f>O175/M175</f>
        <v/>
      </c>
      <c r="O175" s="17">
        <f>I175+L175</f>
        <v/>
      </c>
    </row>
    <row r="176">
      <c r="A176" s="6" t="n">
        <v>173</v>
      </c>
      <c r="B176" s="9" t="inlineStr">
        <is>
          <t>ZC000053</t>
        </is>
      </c>
      <c r="C176" s="13" t="inlineStr">
        <is>
          <t>食品类</t>
        </is>
      </c>
      <c r="D176" s="30" t="inlineStr">
        <is>
          <t>金针菇</t>
        </is>
      </c>
      <c r="E176" s="26" t="n"/>
      <c r="F176" s="13" t="inlineStr">
        <is>
          <t>斤</t>
        </is>
      </c>
      <c r="G176" s="6" t="n">
        <v>0</v>
      </c>
      <c r="H176" s="17" t="n">
        <v>0</v>
      </c>
      <c r="I176" s="6" t="n">
        <v>0</v>
      </c>
      <c r="J176" s="17" t="n">
        <v>10.1</v>
      </c>
      <c r="K176" s="17" t="n">
        <v>3.96039603960396</v>
      </c>
      <c r="L176" s="17" t="n">
        <v>40</v>
      </c>
      <c r="M176" s="17">
        <f>G176+J176</f>
        <v/>
      </c>
      <c r="N176" s="17">
        <f>O176/M176</f>
        <v/>
      </c>
      <c r="O176" s="17">
        <f>I176+L176</f>
        <v/>
      </c>
    </row>
    <row r="177">
      <c r="A177" s="6" t="n">
        <v>174</v>
      </c>
      <c r="B177" s="9" t="inlineStr">
        <is>
          <t>ZC000054</t>
        </is>
      </c>
      <c r="C177" s="13" t="inlineStr">
        <is>
          <t>食品类</t>
        </is>
      </c>
      <c r="D177" s="13" t="inlineStr">
        <is>
          <t>娃娃菜</t>
        </is>
      </c>
      <c r="E177" s="26" t="n"/>
      <c r="F177" s="13" t="inlineStr">
        <is>
          <t>包</t>
        </is>
      </c>
      <c r="G177" s="6" t="n">
        <v>0</v>
      </c>
      <c r="H177" s="6" t="n">
        <v>0</v>
      </c>
      <c r="I177" s="6" t="n">
        <v>0</v>
      </c>
      <c r="J177" s="17" t="n">
        <v>13</v>
      </c>
      <c r="K177" s="17" t="n">
        <v>6</v>
      </c>
      <c r="L177" s="17" t="n">
        <v>78</v>
      </c>
      <c r="M177" s="17">
        <f>G177+J177</f>
        <v/>
      </c>
      <c r="N177" s="17">
        <f>O177/M177</f>
        <v/>
      </c>
      <c r="O177" s="17">
        <f>I177+L177</f>
        <v/>
      </c>
    </row>
    <row r="178">
      <c r="A178" s="6" t="n">
        <v>175</v>
      </c>
      <c r="B178" s="9" t="inlineStr">
        <is>
          <t>ZC000055</t>
        </is>
      </c>
      <c r="C178" s="13" t="inlineStr">
        <is>
          <t>食品类</t>
        </is>
      </c>
      <c r="D178" s="13" t="inlineStr">
        <is>
          <t>猪腱子肉</t>
        </is>
      </c>
      <c r="E178" s="26" t="n"/>
      <c r="F178" s="13" t="inlineStr">
        <is>
          <t>斤</t>
        </is>
      </c>
      <c r="G178" s="6" t="n">
        <v>1.3</v>
      </c>
      <c r="H178" s="6" t="n">
        <v>13.8461538461538</v>
      </c>
      <c r="I178" s="6" t="n">
        <v>18</v>
      </c>
      <c r="J178" s="17" t="n">
        <v>47.1</v>
      </c>
      <c r="K178" s="17" t="n">
        <v>13.7154989384289</v>
      </c>
      <c r="L178" s="17" t="n">
        <v>646</v>
      </c>
      <c r="M178" s="17">
        <f>G178+J178</f>
        <v/>
      </c>
      <c r="N178" s="17">
        <f>O178/M178</f>
        <v/>
      </c>
      <c r="O178" s="17">
        <f>I178+L178</f>
        <v/>
      </c>
    </row>
    <row r="179">
      <c r="A179" s="6" t="n">
        <v>176</v>
      </c>
      <c r="B179" s="9" t="inlineStr">
        <is>
          <t>ZC000056</t>
        </is>
      </c>
      <c r="C179" s="13" t="inlineStr">
        <is>
          <t>食品类</t>
        </is>
      </c>
      <c r="D179" s="13" t="inlineStr">
        <is>
          <t>黑芝麻小汤圆</t>
        </is>
      </c>
      <c r="E179" s="26" t="n"/>
      <c r="F179" s="13" t="inlineStr">
        <is>
          <t>包</t>
        </is>
      </c>
      <c r="G179" s="6" t="n">
        <v>0</v>
      </c>
      <c r="H179" s="6" t="n">
        <v>0</v>
      </c>
      <c r="I179" s="6" t="n">
        <v>0</v>
      </c>
      <c r="J179" s="17" t="n">
        <v>0</v>
      </c>
      <c r="K179" s="17" t="e">
        <v>#DIV/0!</v>
      </c>
      <c r="L179" s="17" t="n">
        <v>0</v>
      </c>
      <c r="M179" s="17">
        <f>G179+J179</f>
        <v/>
      </c>
      <c r="N179" s="17">
        <f>O179/M179</f>
        <v/>
      </c>
      <c r="O179" s="17">
        <f>I179+L179</f>
        <v/>
      </c>
    </row>
    <row r="180">
      <c r="A180" s="6" t="n">
        <v>177</v>
      </c>
      <c r="B180" s="9" t="inlineStr">
        <is>
          <t>ZC000057</t>
        </is>
      </c>
      <c r="C180" s="13" t="inlineStr">
        <is>
          <t>食品类</t>
        </is>
      </c>
      <c r="D180" s="31" t="inlineStr">
        <is>
          <t>牛筋丸</t>
        </is>
      </c>
      <c r="E180" s="26" t="n"/>
      <c r="F180" s="13" t="inlineStr">
        <is>
          <t>包</t>
        </is>
      </c>
      <c r="G180" s="6" t="n">
        <v>0</v>
      </c>
      <c r="H180" s="6" t="n">
        <v>0</v>
      </c>
      <c r="I180" s="6" t="n">
        <v>0</v>
      </c>
      <c r="J180" s="17" t="n">
        <v>0</v>
      </c>
      <c r="K180" s="17" t="e">
        <v>#DIV/0!</v>
      </c>
      <c r="L180" s="17" t="n">
        <v>0</v>
      </c>
      <c r="M180" s="17">
        <f>G180+J180</f>
        <v/>
      </c>
      <c r="N180" s="17">
        <f>O180/M180</f>
        <v/>
      </c>
      <c r="O180" s="17">
        <f>I180+L180</f>
        <v/>
      </c>
    </row>
    <row r="181">
      <c r="A181" s="6" t="n">
        <v>178</v>
      </c>
      <c r="B181" s="9" t="inlineStr">
        <is>
          <t>YH000030</t>
        </is>
      </c>
      <c r="C181" s="13" t="inlineStr">
        <is>
          <t>易耗品</t>
        </is>
      </c>
      <c r="D181" s="13" t="inlineStr">
        <is>
          <t>漏勺</t>
        </is>
      </c>
      <c r="E181" s="26" t="n"/>
      <c r="F181" s="13" t="inlineStr">
        <is>
          <t>个</t>
        </is>
      </c>
      <c r="G181" s="6" t="n">
        <v>0</v>
      </c>
      <c r="H181" s="6" t="n">
        <v>0</v>
      </c>
      <c r="I181" s="6" t="n">
        <v>0</v>
      </c>
      <c r="J181" s="13" t="n">
        <v>2</v>
      </c>
      <c r="K181" s="13" t="n">
        <v>20</v>
      </c>
      <c r="L181" s="124" t="n">
        <v>40</v>
      </c>
      <c r="M181" s="17">
        <f>G181+J181</f>
        <v/>
      </c>
      <c r="N181" s="17">
        <f>O181/M181</f>
        <v/>
      </c>
      <c r="O181" s="17">
        <f>I181+L181</f>
        <v/>
      </c>
    </row>
    <row r="182">
      <c r="A182" s="6" t="n">
        <v>179</v>
      </c>
      <c r="B182" s="9" t="inlineStr">
        <is>
          <t>WG00001</t>
        </is>
      </c>
      <c r="C182" s="13" t="inlineStr">
        <is>
          <t>食品类</t>
        </is>
      </c>
      <c r="D182" s="13" t="inlineStr">
        <is>
          <t>东古鸡精（网购）</t>
        </is>
      </c>
      <c r="E182" s="26" t="n"/>
      <c r="F182" s="13" t="inlineStr">
        <is>
          <t>件</t>
        </is>
      </c>
      <c r="G182" s="6" t="n">
        <v>0</v>
      </c>
      <c r="H182" s="6" t="n">
        <v>0</v>
      </c>
      <c r="I182" s="6" t="n">
        <v>0</v>
      </c>
      <c r="J182" s="13" t="n"/>
      <c r="K182" s="13" t="n"/>
      <c r="L182" s="124" t="n"/>
      <c r="M182" s="17">
        <f>G182+J182</f>
        <v/>
      </c>
      <c r="N182" s="17">
        <f>O182/M182</f>
        <v/>
      </c>
      <c r="O182" s="17">
        <f>I182+L182</f>
        <v/>
      </c>
    </row>
    <row r="183" ht="14.25" customHeight="1" s="3">
      <c r="A183" s="6" t="n">
        <v>180</v>
      </c>
      <c r="B183" s="9" t="inlineStr">
        <is>
          <t>WG00002</t>
        </is>
      </c>
      <c r="C183" s="13" t="inlineStr">
        <is>
          <t>食品类</t>
        </is>
      </c>
      <c r="D183" s="16" t="inlineStr">
        <is>
          <t>花生碎（网购）</t>
        </is>
      </c>
      <c r="E183" s="16" t="n"/>
      <c r="F183" s="13" t="inlineStr">
        <is>
          <t>件</t>
        </is>
      </c>
      <c r="G183" s="6" t="n">
        <v>0</v>
      </c>
      <c r="H183" s="6" t="n">
        <v>0</v>
      </c>
      <c r="I183" s="6" t="n">
        <v>0</v>
      </c>
      <c r="J183" s="13" t="n"/>
      <c r="K183" s="13" t="n"/>
      <c r="L183" s="124" t="n"/>
      <c r="M183" s="17">
        <f>G183+J183</f>
        <v/>
      </c>
      <c r="N183" s="17">
        <f>O183/M183</f>
        <v/>
      </c>
      <c r="O183" s="17">
        <f>I183+L183</f>
        <v/>
      </c>
    </row>
    <row r="184" ht="27" customHeight="1" s="3">
      <c r="A184" s="6" t="n">
        <v>181</v>
      </c>
      <c r="B184" s="9" t="inlineStr">
        <is>
          <t>WG00003</t>
        </is>
      </c>
      <c r="C184" s="13" t="inlineStr">
        <is>
          <t>食品类</t>
        </is>
      </c>
      <c r="D184" s="26" t="inlineStr">
        <is>
          <t>鸡蛋丝（网购）</t>
        </is>
      </c>
      <c r="E184" s="26" t="n"/>
      <c r="F184" s="26" t="inlineStr">
        <is>
          <t>件</t>
        </is>
      </c>
      <c r="G184" s="6" t="n">
        <v>1</v>
      </c>
      <c r="H184" s="17" t="n">
        <v>20</v>
      </c>
      <c r="I184" s="6" t="n">
        <v>20</v>
      </c>
      <c r="J184" s="13" t="n"/>
      <c r="K184" s="13" t="n"/>
      <c r="L184" s="124" t="n"/>
      <c r="M184" s="17">
        <f>G184+J184</f>
        <v/>
      </c>
      <c r="N184" s="17">
        <f>O184/M184</f>
        <v/>
      </c>
      <c r="O184" s="17">
        <f>I184+L184</f>
        <v/>
      </c>
    </row>
    <row r="185">
      <c r="A185" s="6" t="n">
        <v>182</v>
      </c>
      <c r="B185" s="9" t="inlineStr">
        <is>
          <t>WG00004</t>
        </is>
      </c>
      <c r="C185" s="13" t="inlineStr">
        <is>
          <t>食品类</t>
        </is>
      </c>
      <c r="D185" s="26" t="inlineStr">
        <is>
          <t>山奈（网购）</t>
        </is>
      </c>
      <c r="E185" s="26" t="n"/>
      <c r="F185" s="26" t="inlineStr">
        <is>
          <t>件</t>
        </is>
      </c>
      <c r="G185" s="6" t="n">
        <v>1</v>
      </c>
      <c r="H185" s="17" t="n">
        <v>30</v>
      </c>
      <c r="I185" s="6" t="n">
        <v>30</v>
      </c>
      <c r="J185" s="13" t="n">
        <v>1</v>
      </c>
      <c r="K185" s="13" t="n">
        <v>60</v>
      </c>
      <c r="L185" s="126" t="n">
        <v>60</v>
      </c>
      <c r="M185" s="17">
        <f>G185+J185</f>
        <v/>
      </c>
      <c r="N185" s="17">
        <f>O185/M185</f>
        <v/>
      </c>
      <c r="O185" s="17">
        <f>I185+L185</f>
        <v/>
      </c>
    </row>
    <row r="186" ht="27" customHeight="1" s="3">
      <c r="A186" s="6" t="n">
        <v>183</v>
      </c>
      <c r="B186" s="9" t="inlineStr">
        <is>
          <t>WG00005</t>
        </is>
      </c>
      <c r="C186" s="13" t="inlineStr">
        <is>
          <t>食品类</t>
        </is>
      </c>
      <c r="D186" s="26" t="inlineStr">
        <is>
          <t>十三香（网购）</t>
        </is>
      </c>
      <c r="E186" s="26" t="n"/>
      <c r="F186" s="26" t="inlineStr">
        <is>
          <t>件</t>
        </is>
      </c>
      <c r="G186" s="6" t="n">
        <v>0</v>
      </c>
      <c r="H186" s="17" t="n">
        <v>0</v>
      </c>
      <c r="I186" s="6" t="n">
        <v>0</v>
      </c>
      <c r="J186" s="13" t="n"/>
      <c r="K186" s="13" t="n"/>
      <c r="L186" s="124" t="n"/>
      <c r="M186" s="17">
        <f>G186+J186</f>
        <v/>
      </c>
      <c r="N186" s="17">
        <f>O186/M186</f>
        <v/>
      </c>
      <c r="O186" s="17">
        <f>I186+L186</f>
        <v/>
      </c>
    </row>
    <row r="187" ht="27" customHeight="1" s="3">
      <c r="A187" s="6" t="n">
        <v>184</v>
      </c>
      <c r="B187" s="9" t="inlineStr">
        <is>
          <t>WG00006</t>
        </is>
      </c>
      <c r="C187" s="13" t="inlineStr">
        <is>
          <t>食品类</t>
        </is>
      </c>
      <c r="D187" s="26" t="inlineStr">
        <is>
          <t>双桥味精（网购）</t>
        </is>
      </c>
      <c r="E187" s="26" t="n"/>
      <c r="F187" s="26" t="inlineStr">
        <is>
          <t>件</t>
        </is>
      </c>
      <c r="G187" s="6" t="n">
        <v>0</v>
      </c>
      <c r="H187" s="17" t="n">
        <v>0</v>
      </c>
      <c r="I187" s="6" t="n">
        <v>0</v>
      </c>
      <c r="J187" s="13" t="n"/>
      <c r="K187" s="13" t="n"/>
      <c r="L187" s="124" t="n"/>
      <c r="M187" s="17">
        <f>G187+J187</f>
        <v/>
      </c>
      <c r="N187" s="17">
        <f>O187/M187</f>
        <v/>
      </c>
      <c r="O187" s="17">
        <f>I187+L187</f>
        <v/>
      </c>
    </row>
    <row r="188">
      <c r="A188" s="6" t="n">
        <v>185</v>
      </c>
      <c r="B188" s="9" t="inlineStr">
        <is>
          <t>WG00007</t>
        </is>
      </c>
      <c r="C188" s="13" t="inlineStr">
        <is>
          <t>食品类</t>
        </is>
      </c>
      <c r="D188" s="26" t="inlineStr">
        <is>
          <t>脆哨（网购）</t>
        </is>
      </c>
      <c r="E188" s="26" t="n"/>
      <c r="F188" s="26" t="inlineStr">
        <is>
          <t>件</t>
        </is>
      </c>
      <c r="G188" s="17" t="n">
        <v>1</v>
      </c>
      <c r="H188" s="17" t="n">
        <v>78</v>
      </c>
      <c r="I188" s="17" t="n">
        <v>78</v>
      </c>
      <c r="J188" s="13" t="n">
        <v>1</v>
      </c>
      <c r="K188" s="13" t="n">
        <v>113</v>
      </c>
      <c r="L188" s="124" t="n">
        <v>113</v>
      </c>
      <c r="M188" s="17">
        <f>G188+J188</f>
        <v/>
      </c>
      <c r="N188" s="17">
        <f>O188/M188</f>
        <v/>
      </c>
      <c r="O188" s="17">
        <f>I188+L188</f>
        <v/>
      </c>
    </row>
    <row r="189" ht="27" customHeight="1" s="3">
      <c r="A189" s="6" t="n">
        <v>186</v>
      </c>
      <c r="B189" s="9" t="inlineStr">
        <is>
          <t>WG00008</t>
        </is>
      </c>
      <c r="C189" s="13" t="inlineStr">
        <is>
          <t>食品类</t>
        </is>
      </c>
      <c r="D189" s="26" t="inlineStr">
        <is>
          <t>黄金豆（网购）</t>
        </is>
      </c>
      <c r="E189" s="26" t="n"/>
      <c r="F189" s="26" t="inlineStr">
        <is>
          <t>件</t>
        </is>
      </c>
      <c r="G189" s="17" t="n">
        <v>0.5</v>
      </c>
      <c r="H189" s="17" t="n">
        <v>96.90000000000001</v>
      </c>
      <c r="I189" s="17" t="n">
        <v>48.45</v>
      </c>
      <c r="J189" s="13" t="n">
        <v>1</v>
      </c>
      <c r="K189" s="13" t="n">
        <v>96.90000000000001</v>
      </c>
      <c r="L189" s="124" t="n">
        <v>96.90000000000001</v>
      </c>
      <c r="M189" s="17">
        <f>G189+J189</f>
        <v/>
      </c>
      <c r="N189" s="17">
        <f>O189/M189</f>
        <v/>
      </c>
      <c r="O189" s="17">
        <f>I189+L189</f>
        <v/>
      </c>
    </row>
    <row r="190" ht="27" customHeight="1" s="3">
      <c r="A190" s="6" t="n">
        <v>187</v>
      </c>
      <c r="B190" s="9" t="inlineStr">
        <is>
          <t>WG00009</t>
        </is>
      </c>
      <c r="C190" s="13" t="inlineStr">
        <is>
          <t>食品类</t>
        </is>
      </c>
      <c r="D190" s="26" t="inlineStr">
        <is>
          <t>糊辣椒（网购）</t>
        </is>
      </c>
      <c r="E190" s="26" t="n"/>
      <c r="F190" s="26" t="inlineStr">
        <is>
          <t>件</t>
        </is>
      </c>
      <c r="G190" s="6" t="n">
        <v>0</v>
      </c>
      <c r="H190" s="17" t="n">
        <v>0</v>
      </c>
      <c r="I190" s="6" t="n">
        <v>0</v>
      </c>
      <c r="J190" s="13" t="n"/>
      <c r="K190" s="13" t="n"/>
      <c r="L190" s="124" t="n"/>
      <c r="M190" s="17">
        <f>G190+J190</f>
        <v/>
      </c>
      <c r="N190" s="17">
        <f>O190/M190</f>
        <v/>
      </c>
      <c r="O190" s="17">
        <f>I190+L190</f>
        <v/>
      </c>
    </row>
    <row r="191">
      <c r="A191" s="6" t="n">
        <v>188</v>
      </c>
      <c r="B191" s="9" t="inlineStr">
        <is>
          <t>WG00010</t>
        </is>
      </c>
      <c r="C191" s="13" t="inlineStr">
        <is>
          <t>食品类</t>
        </is>
      </c>
      <c r="D191" s="26" t="inlineStr">
        <is>
          <t>大窑</t>
        </is>
      </c>
      <c r="E191" s="26" t="n"/>
      <c r="F191" s="26" t="inlineStr">
        <is>
          <t>箱</t>
        </is>
      </c>
      <c r="G191" s="6" t="n">
        <v>1</v>
      </c>
      <c r="H191" s="17" t="n">
        <v>55</v>
      </c>
      <c r="I191" s="6" t="n">
        <v>275</v>
      </c>
      <c r="J191" s="13" t="n"/>
      <c r="K191" s="13" t="n"/>
      <c r="L191" s="124" t="n"/>
      <c r="M191" s="17">
        <f>G191+J191</f>
        <v/>
      </c>
      <c r="N191" s="17">
        <f>O191/M191</f>
        <v/>
      </c>
      <c r="O191" s="17">
        <f>I191+L191</f>
        <v/>
      </c>
    </row>
    <row r="192">
      <c r="A192" s="6" t="n">
        <v>189</v>
      </c>
      <c r="B192" s="9" t="inlineStr">
        <is>
          <t>WG00011</t>
        </is>
      </c>
      <c r="C192" s="13" t="inlineStr">
        <is>
          <t>食品类</t>
        </is>
      </c>
      <c r="D192" s="26" t="inlineStr">
        <is>
          <t>鸡蛋（网购）</t>
        </is>
      </c>
      <c r="E192" s="26" t="n"/>
      <c r="F192" s="26" t="inlineStr">
        <is>
          <t>板</t>
        </is>
      </c>
      <c r="G192" s="17" t="n">
        <v>0</v>
      </c>
      <c r="H192" s="17" t="n">
        <v>0</v>
      </c>
      <c r="I192" s="17" t="n">
        <v>0</v>
      </c>
      <c r="J192" s="17" t="n">
        <v>2</v>
      </c>
      <c r="K192" s="17" t="n">
        <v>19.38</v>
      </c>
      <c r="L192" s="17" t="n">
        <v>38.76</v>
      </c>
      <c r="M192" s="17">
        <f>G192+J192</f>
        <v/>
      </c>
      <c r="N192" s="17">
        <f>O192/M192</f>
        <v/>
      </c>
      <c r="O192" s="17">
        <f>I192+L192</f>
        <v/>
      </c>
    </row>
    <row r="193">
      <c r="A193" s="6" t="n">
        <v>190</v>
      </c>
      <c r="B193" s="9" t="inlineStr">
        <is>
          <t>WG00012</t>
        </is>
      </c>
      <c r="C193" s="13" t="inlineStr">
        <is>
          <t>食品类</t>
        </is>
      </c>
      <c r="D193" s="26" t="inlineStr">
        <is>
          <t>薯片（网购）</t>
        </is>
      </c>
      <c r="E193" s="26" t="n"/>
      <c r="F193" s="26" t="inlineStr">
        <is>
          <t>件</t>
        </is>
      </c>
      <c r="G193" s="17" t="n">
        <v>0</v>
      </c>
      <c r="H193" s="17" t="n">
        <v>0</v>
      </c>
      <c r="I193" s="17" t="n">
        <v>0</v>
      </c>
      <c r="J193" s="13" t="n"/>
      <c r="K193" s="13" t="n"/>
      <c r="L193" s="124" t="n"/>
      <c r="M193" s="17">
        <f>G193+J193</f>
        <v/>
      </c>
      <c r="N193" s="17">
        <f>O193/M193</f>
        <v/>
      </c>
      <c r="O193" s="17">
        <f>I193+L193</f>
        <v/>
      </c>
    </row>
    <row r="194">
      <c r="A194" s="6" t="n">
        <v>191</v>
      </c>
      <c r="B194" s="9" t="inlineStr">
        <is>
          <t>WG00013</t>
        </is>
      </c>
      <c r="C194" s="13" t="inlineStr">
        <is>
          <t>食品类</t>
        </is>
      </c>
      <c r="D194" s="26" t="inlineStr">
        <is>
          <t>椰片（网购）</t>
        </is>
      </c>
      <c r="E194" s="26" t="n"/>
      <c r="F194" s="26" t="inlineStr">
        <is>
          <t>包</t>
        </is>
      </c>
      <c r="G194" s="17" t="n">
        <v>0</v>
      </c>
      <c r="H194" s="17" t="n">
        <v>0</v>
      </c>
      <c r="I194" s="17" t="n">
        <v>0</v>
      </c>
      <c r="J194" s="13" t="n">
        <v>1</v>
      </c>
      <c r="K194" s="13" t="n">
        <v>55.8</v>
      </c>
      <c r="L194" s="124" t="n">
        <v>55.8</v>
      </c>
      <c r="M194" s="17">
        <f>G194+J194</f>
        <v/>
      </c>
      <c r="N194" s="17">
        <f>O194/M194</f>
        <v/>
      </c>
      <c r="O194" s="17">
        <f>I194+L194</f>
        <v/>
      </c>
    </row>
    <row r="195" ht="27" customHeight="1" s="3">
      <c r="A195" s="6" t="n">
        <v>192</v>
      </c>
      <c r="B195" s="9" t="inlineStr">
        <is>
          <t>WG00014</t>
        </is>
      </c>
      <c r="C195" s="13" t="inlineStr">
        <is>
          <t>食品类</t>
        </is>
      </c>
      <c r="D195" s="26" t="inlineStr">
        <is>
          <t>辣椒油（网购）</t>
        </is>
      </c>
      <c r="E195" s="26" t="n"/>
      <c r="F195" s="26" t="inlineStr">
        <is>
          <t>件</t>
        </is>
      </c>
      <c r="G195" s="17" t="n">
        <v>1</v>
      </c>
      <c r="H195" s="17" t="n">
        <v>34.85</v>
      </c>
      <c r="I195" s="17" t="n">
        <v>34.85</v>
      </c>
      <c r="J195" s="13" t="n">
        <v>3</v>
      </c>
      <c r="K195" s="13" t="n">
        <v>44.2333333333333</v>
      </c>
      <c r="L195" s="124" t="n">
        <v>132.7</v>
      </c>
      <c r="M195" s="17">
        <f>G195+J195</f>
        <v/>
      </c>
      <c r="N195" s="17">
        <f>O195/M195</f>
        <v/>
      </c>
      <c r="O195" s="17">
        <f>I195+L195</f>
        <v/>
      </c>
    </row>
    <row r="196" ht="27" customHeight="1" s="3">
      <c r="A196" s="6" t="n">
        <v>193</v>
      </c>
      <c r="B196" s="9" t="inlineStr">
        <is>
          <t>WG00015</t>
        </is>
      </c>
      <c r="C196" s="13" t="inlineStr">
        <is>
          <t>食品类</t>
        </is>
      </c>
      <c r="D196" s="26" t="inlineStr">
        <is>
          <t>薄荷叶（网购）</t>
        </is>
      </c>
      <c r="E196" s="26" t="n"/>
      <c r="F196" s="26" t="inlineStr">
        <is>
          <t>件</t>
        </is>
      </c>
      <c r="G196" s="17" t="n">
        <v>0</v>
      </c>
      <c r="H196" s="17" t="n">
        <v>0</v>
      </c>
      <c r="I196" s="17" t="n">
        <v>0</v>
      </c>
      <c r="J196" s="13" t="n">
        <v>32</v>
      </c>
      <c r="K196" s="13" t="n">
        <v>10.265625</v>
      </c>
      <c r="L196" s="124" t="n">
        <v>328.5</v>
      </c>
      <c r="M196" s="17">
        <f>G196+J196</f>
        <v/>
      </c>
      <c r="N196" s="17">
        <f>O196/M196</f>
        <v/>
      </c>
      <c r="O196" s="17">
        <f>I196+L196</f>
        <v/>
      </c>
    </row>
    <row r="197" ht="27" customHeight="1" s="3">
      <c r="A197" s="6" t="n">
        <v>194</v>
      </c>
      <c r="B197" s="9" t="inlineStr">
        <is>
          <t>WG00016</t>
        </is>
      </c>
      <c r="C197" s="13" t="inlineStr">
        <is>
          <t>食品类</t>
        </is>
      </c>
      <c r="D197" s="26" t="inlineStr">
        <is>
          <t>老红糖（网购）</t>
        </is>
      </c>
      <c r="E197" s="26" t="n"/>
      <c r="F197" s="26" t="inlineStr">
        <is>
          <t>件</t>
        </is>
      </c>
      <c r="G197" s="17" t="n">
        <v>0</v>
      </c>
      <c r="H197" s="17" t="n">
        <v>0</v>
      </c>
      <c r="I197" s="17" t="n">
        <v>0</v>
      </c>
      <c r="J197" s="13" t="n"/>
      <c r="K197" s="13" t="n"/>
      <c r="L197" s="124" t="n"/>
      <c r="M197" s="17">
        <f>G197+J197</f>
        <v/>
      </c>
      <c r="N197" s="17">
        <f>O197/M197</f>
        <v/>
      </c>
      <c r="O197" s="17">
        <f>I197+L197</f>
        <v/>
      </c>
    </row>
    <row r="198" ht="27" customHeight="1" s="3">
      <c r="A198" s="6" t="n">
        <v>195</v>
      </c>
      <c r="B198" s="9" t="inlineStr">
        <is>
          <t>WG00017</t>
        </is>
      </c>
      <c r="C198" s="13" t="inlineStr">
        <is>
          <t>食品类</t>
        </is>
      </c>
      <c r="D198" s="26" t="inlineStr">
        <is>
          <t>青提果酱（网购）</t>
        </is>
      </c>
      <c r="E198" s="26" t="n"/>
      <c r="F198" s="26" t="inlineStr">
        <is>
          <t>件</t>
        </is>
      </c>
      <c r="G198" s="17" t="n">
        <v>0</v>
      </c>
      <c r="H198" s="17" t="n">
        <v>0</v>
      </c>
      <c r="I198" s="17" t="n">
        <v>0</v>
      </c>
      <c r="J198" s="13" t="n"/>
      <c r="K198" s="13" t="n"/>
      <c r="L198" s="124" t="n"/>
      <c r="M198" s="17">
        <f>G198+J198</f>
        <v/>
      </c>
      <c r="N198" s="17">
        <f>O198/M198</f>
        <v/>
      </c>
      <c r="O198" s="17">
        <f>I198+L198</f>
        <v/>
      </c>
    </row>
    <row r="199" ht="27" customHeight="1" s="3">
      <c r="A199" s="6" t="n">
        <v>196</v>
      </c>
      <c r="B199" s="9" t="inlineStr">
        <is>
          <t>WG00018</t>
        </is>
      </c>
      <c r="C199" s="13" t="inlineStr">
        <is>
          <t>食品类</t>
        </is>
      </c>
      <c r="D199" s="26" t="inlineStr">
        <is>
          <t>鸡毛菜（网购）</t>
        </is>
      </c>
      <c r="E199" s="26" t="n"/>
      <c r="F199" s="26" t="inlineStr">
        <is>
          <t>件</t>
        </is>
      </c>
      <c r="G199" s="17" t="n">
        <v>0</v>
      </c>
      <c r="H199" s="17" t="n">
        <v>0</v>
      </c>
      <c r="I199" s="17" t="n">
        <v>0</v>
      </c>
      <c r="J199" s="13" t="n">
        <v>15</v>
      </c>
      <c r="K199" s="13" t="n">
        <v>3.60933333333333</v>
      </c>
      <c r="L199" s="124" t="n">
        <v>54.14</v>
      </c>
      <c r="M199" s="17">
        <f>G199+J199</f>
        <v/>
      </c>
      <c r="N199" s="17">
        <f>O199/M199</f>
        <v/>
      </c>
      <c r="O199" s="17">
        <f>I199+L199</f>
        <v/>
      </c>
    </row>
    <row r="200">
      <c r="A200" s="6" t="n">
        <v>197</v>
      </c>
      <c r="B200" s="9" t="inlineStr">
        <is>
          <t>WG00019</t>
        </is>
      </c>
      <c r="C200" s="13" t="inlineStr">
        <is>
          <t>食品类</t>
        </is>
      </c>
      <c r="D200" s="26" t="inlineStr">
        <is>
          <t>猪肉杂酱</t>
        </is>
      </c>
      <c r="E200" s="26" t="n"/>
      <c r="F200" s="26" t="inlineStr">
        <is>
          <t>件</t>
        </is>
      </c>
      <c r="G200" s="17" t="n">
        <v>0</v>
      </c>
      <c r="H200" s="17" t="n">
        <v>0</v>
      </c>
      <c r="I200" s="17" t="n">
        <v>0</v>
      </c>
      <c r="J200" s="13" t="n"/>
      <c r="K200" s="13" t="n"/>
      <c r="L200" s="124" t="n"/>
      <c r="M200" s="17">
        <f>G200+J200</f>
        <v/>
      </c>
      <c r="N200" s="17">
        <f>O200/M200</f>
        <v/>
      </c>
      <c r="O200" s="17">
        <f>I200+L200</f>
        <v/>
      </c>
    </row>
    <row r="201" ht="28.5" customHeight="1" s="3">
      <c r="A201" s="6" t="n">
        <v>198</v>
      </c>
      <c r="B201" s="9" t="inlineStr">
        <is>
          <t>WG00020</t>
        </is>
      </c>
      <c r="C201" s="13" t="inlineStr">
        <is>
          <t>易耗品</t>
        </is>
      </c>
      <c r="D201" s="16" t="inlineStr">
        <is>
          <t>一次性勺子（网购）</t>
        </is>
      </c>
      <c r="E201" s="16" t="n"/>
      <c r="F201" s="26" t="inlineStr">
        <is>
          <t>件</t>
        </is>
      </c>
      <c r="G201" s="17" t="n">
        <v>0</v>
      </c>
      <c r="H201" s="17" t="n">
        <v>0</v>
      </c>
      <c r="I201" s="17" t="n">
        <v>0</v>
      </c>
      <c r="J201" s="13" t="n"/>
      <c r="K201" s="13" t="n"/>
      <c r="L201" s="124" t="n"/>
      <c r="M201" s="17">
        <f>G201+J201</f>
        <v/>
      </c>
      <c r="N201" s="17">
        <f>O201/M201</f>
        <v/>
      </c>
      <c r="O201" s="17">
        <f>I201+L201</f>
        <v/>
      </c>
    </row>
    <row r="202">
      <c r="A202" s="6" t="n">
        <v>199</v>
      </c>
      <c r="B202" s="9" t="inlineStr">
        <is>
          <t>WG00021</t>
        </is>
      </c>
      <c r="C202" s="13" t="inlineStr">
        <is>
          <t>食品类</t>
        </is>
      </c>
      <c r="D202" s="26" t="inlineStr">
        <is>
          <t>可口可乐瓶装</t>
        </is>
      </c>
      <c r="E202" s="26" t="n"/>
      <c r="F202" s="26" t="inlineStr">
        <is>
          <t>箱</t>
        </is>
      </c>
      <c r="G202" s="6" t="n">
        <v>1</v>
      </c>
      <c r="H202" s="17" t="n">
        <v>52</v>
      </c>
      <c r="I202" s="6" t="n">
        <v>52</v>
      </c>
      <c r="J202" s="13" t="n">
        <v>3</v>
      </c>
      <c r="K202" s="13" t="n">
        <v>51.3166666666667</v>
      </c>
      <c r="L202" s="124" t="n">
        <v>153.95</v>
      </c>
      <c r="M202" s="17">
        <f>G202+J202</f>
        <v/>
      </c>
      <c r="N202" s="17">
        <f>O202/M202</f>
        <v/>
      </c>
      <c r="O202" s="17">
        <f>I202+L202</f>
        <v/>
      </c>
    </row>
    <row r="203">
      <c r="A203" s="6" t="n">
        <v>200</v>
      </c>
      <c r="B203" s="9" t="inlineStr">
        <is>
          <t>WG00022</t>
        </is>
      </c>
      <c r="C203" s="13" t="inlineStr">
        <is>
          <t>食品类</t>
        </is>
      </c>
      <c r="D203" s="26" t="inlineStr">
        <is>
          <t>雪碧 听装</t>
        </is>
      </c>
      <c r="E203" s="26" t="n"/>
      <c r="F203" s="26" t="inlineStr">
        <is>
          <t>箱</t>
        </is>
      </c>
      <c r="G203" s="6" t="n">
        <v>0</v>
      </c>
      <c r="H203" s="17" t="n">
        <v>0</v>
      </c>
      <c r="I203" s="6" t="n">
        <v>0</v>
      </c>
      <c r="J203" s="13" t="n"/>
      <c r="K203" s="13" t="n"/>
      <c r="L203" s="124" t="n"/>
      <c r="M203" s="17">
        <f>G203+J203</f>
        <v/>
      </c>
      <c r="N203" s="17">
        <f>O203/M203</f>
        <v/>
      </c>
      <c r="O203" s="17">
        <f>I203+L203</f>
        <v/>
      </c>
    </row>
    <row r="204">
      <c r="A204" s="6" t="n">
        <v>201</v>
      </c>
      <c r="B204" s="9" t="inlineStr">
        <is>
          <t>WG00023</t>
        </is>
      </c>
      <c r="C204" s="13" t="inlineStr">
        <is>
          <t>食品类</t>
        </is>
      </c>
      <c r="D204" s="26" t="inlineStr">
        <is>
          <t>可口可乐 听装</t>
        </is>
      </c>
      <c r="E204" s="26" t="n"/>
      <c r="F204" s="26" t="inlineStr">
        <is>
          <t>箱</t>
        </is>
      </c>
      <c r="G204" s="17" t="n">
        <v>0</v>
      </c>
      <c r="H204" s="17" t="n">
        <v>0</v>
      </c>
      <c r="I204" s="17" t="n">
        <v>0</v>
      </c>
      <c r="J204" s="13" t="n"/>
      <c r="K204" s="13" t="n"/>
      <c r="L204" s="124" t="n"/>
      <c r="M204" s="17">
        <f>G204+J204</f>
        <v/>
      </c>
      <c r="N204" s="17">
        <f>O204/M204</f>
        <v/>
      </c>
      <c r="O204" s="17">
        <f>I204+L204</f>
        <v/>
      </c>
    </row>
    <row r="205" ht="27" customHeight="1" s="3">
      <c r="A205" s="6" t="n">
        <v>202</v>
      </c>
      <c r="B205" s="9" t="inlineStr">
        <is>
          <t>WG00024</t>
        </is>
      </c>
      <c r="C205" s="13" t="inlineStr">
        <is>
          <t>食品类</t>
        </is>
      </c>
      <c r="D205" s="26" t="inlineStr">
        <is>
          <t>雪花啤酒 听装</t>
        </is>
      </c>
      <c r="E205" s="26" t="n"/>
      <c r="F205" s="26" t="inlineStr">
        <is>
          <t>箱</t>
        </is>
      </c>
      <c r="G205" s="17" t="n">
        <v>1</v>
      </c>
      <c r="H205" s="17" t="n">
        <v>58.5</v>
      </c>
      <c r="I205" s="17" t="n">
        <v>58.5</v>
      </c>
      <c r="J205" s="13" t="n">
        <v>1</v>
      </c>
      <c r="K205" s="13" t="n">
        <v>57.9</v>
      </c>
      <c r="L205" s="124" t="n">
        <v>57.9</v>
      </c>
      <c r="M205" s="17">
        <f>G205+J205</f>
        <v/>
      </c>
      <c r="N205" s="17">
        <f>O205/M205</f>
        <v/>
      </c>
      <c r="O205" s="17">
        <f>I205+L205</f>
        <v/>
      </c>
    </row>
    <row r="206" ht="27" customHeight="1" s="3">
      <c r="A206" s="6" t="n">
        <v>203</v>
      </c>
      <c r="B206" s="34" t="inlineStr">
        <is>
          <t>WG00025</t>
        </is>
      </c>
      <c r="C206" s="15" t="inlineStr">
        <is>
          <t>易耗品</t>
        </is>
      </c>
      <c r="D206" s="13" t="inlineStr">
        <is>
          <t>圆碗DRH-Y260打包盒</t>
        </is>
      </c>
      <c r="E206" s="26" t="n"/>
      <c r="F206" s="35" t="inlineStr">
        <is>
          <t>箱</t>
        </is>
      </c>
      <c r="G206" s="17" t="n">
        <v>0</v>
      </c>
      <c r="H206" s="17" t="n">
        <v>0</v>
      </c>
      <c r="I206" s="17" t="n">
        <v>0</v>
      </c>
      <c r="J206" s="13" t="n"/>
      <c r="K206" s="13" t="n"/>
      <c r="L206" s="124" t="n"/>
      <c r="M206" s="17">
        <f>G206+J206</f>
        <v/>
      </c>
      <c r="N206" s="17">
        <f>O206/M206</f>
        <v/>
      </c>
      <c r="O206" s="17">
        <f>I206+L206</f>
        <v/>
      </c>
    </row>
    <row r="207" ht="27" customHeight="1" s="3">
      <c r="A207" s="6" t="n">
        <v>204</v>
      </c>
      <c r="B207" s="34" t="inlineStr">
        <is>
          <t>WG00026</t>
        </is>
      </c>
      <c r="C207" s="15" t="inlineStr">
        <is>
          <t>食品类</t>
        </is>
      </c>
      <c r="D207" s="13" t="inlineStr">
        <is>
          <t>毛肚（网购）</t>
        </is>
      </c>
      <c r="E207" s="26" t="n"/>
      <c r="F207" s="35" t="inlineStr">
        <is>
          <t>袋</t>
        </is>
      </c>
      <c r="G207" s="17" t="n">
        <v>0</v>
      </c>
      <c r="H207" s="17" t="n">
        <v>0</v>
      </c>
      <c r="I207" s="17" t="n">
        <v>0</v>
      </c>
      <c r="J207" s="13" t="n"/>
      <c r="K207" s="13" t="n"/>
      <c r="L207" s="124" t="n"/>
      <c r="M207" s="17">
        <f>G207+J207</f>
        <v/>
      </c>
      <c r="N207" s="17">
        <f>O207/M207</f>
        <v/>
      </c>
      <c r="O207" s="17">
        <f>I207+L207</f>
        <v/>
      </c>
    </row>
    <row r="208" ht="27" customHeight="1" s="3">
      <c r="A208" s="6" t="n">
        <v>205</v>
      </c>
      <c r="B208" s="34" t="inlineStr">
        <is>
          <t>WG00027</t>
        </is>
      </c>
      <c r="C208" s="15" t="inlineStr">
        <is>
          <t>易耗品</t>
        </is>
      </c>
      <c r="D208" s="13" t="inlineStr">
        <is>
          <t>小料分装盒50ml/个/箱</t>
        </is>
      </c>
      <c r="E208" s="26" t="n"/>
      <c r="F208" s="35" t="inlineStr">
        <is>
          <t>箱</t>
        </is>
      </c>
      <c r="G208" s="17" t="n">
        <v>0.5</v>
      </c>
      <c r="H208" s="17" t="n">
        <v>32</v>
      </c>
      <c r="I208" s="17" t="n">
        <v>16</v>
      </c>
      <c r="J208" s="13" t="n"/>
      <c r="K208" s="13" t="n"/>
      <c r="L208" s="124" t="n"/>
      <c r="M208" s="17">
        <f>G208+J208</f>
        <v/>
      </c>
      <c r="N208" s="17">
        <f>O208/M208</f>
        <v/>
      </c>
      <c r="O208" s="17">
        <f>I208+L208</f>
        <v/>
      </c>
    </row>
    <row r="209">
      <c r="A209" s="6" t="n">
        <v>206</v>
      </c>
      <c r="B209" s="9" t="inlineStr">
        <is>
          <t>WG00028</t>
        </is>
      </c>
      <c r="C209" s="13" t="inlineStr">
        <is>
          <t>食品类</t>
        </is>
      </c>
      <c r="D209" s="26" t="inlineStr">
        <is>
          <t>萝卜干</t>
        </is>
      </c>
      <c r="E209" s="26" t="n"/>
      <c r="F209" s="26" t="inlineStr">
        <is>
          <t>件</t>
        </is>
      </c>
      <c r="G209" s="17" t="n">
        <v>0</v>
      </c>
      <c r="H209" s="17" t="n">
        <v>0</v>
      </c>
      <c r="I209" s="17" t="n">
        <v>0</v>
      </c>
      <c r="J209" s="13" t="n">
        <v>3</v>
      </c>
      <c r="K209" s="13" t="n">
        <v>72.5866666666667</v>
      </c>
      <c r="L209" s="124" t="n">
        <v>217.76</v>
      </c>
      <c r="M209" s="17">
        <f>G209+J209</f>
        <v/>
      </c>
      <c r="N209" s="17">
        <f>O209/M209</f>
        <v/>
      </c>
      <c r="O209" s="17">
        <f>I209+L209</f>
        <v/>
      </c>
    </row>
    <row r="210" ht="27" customHeight="1" s="3">
      <c r="A210" s="6" t="n">
        <v>207</v>
      </c>
      <c r="B210" s="9" t="inlineStr">
        <is>
          <t>WG00029</t>
        </is>
      </c>
      <c r="C210" s="13" t="inlineStr">
        <is>
          <t>食品类</t>
        </is>
      </c>
      <c r="D210" s="26" t="inlineStr">
        <is>
          <t>红片糖（网购）</t>
        </is>
      </c>
      <c r="E210" s="26" t="n"/>
      <c r="F210" s="26" t="inlineStr">
        <is>
          <t>件</t>
        </is>
      </c>
      <c r="G210" s="6" t="n">
        <v>0.2</v>
      </c>
      <c r="H210" s="17" t="n">
        <v>209.6</v>
      </c>
      <c r="I210" s="6" t="n">
        <v>41.92</v>
      </c>
      <c r="J210" s="13" t="n"/>
      <c r="K210" s="13" t="n"/>
      <c r="L210" s="124" t="n"/>
      <c r="M210" s="17">
        <f>G210+J210</f>
        <v/>
      </c>
      <c r="N210" s="17">
        <f>O210/M210</f>
        <v/>
      </c>
      <c r="O210" s="17">
        <f>I210+L210</f>
        <v/>
      </c>
    </row>
    <row r="211">
      <c r="A211" s="6" t="n">
        <v>208</v>
      </c>
      <c r="B211" s="9" t="inlineStr">
        <is>
          <t>WG00030</t>
        </is>
      </c>
      <c r="C211" s="13" t="inlineStr">
        <is>
          <t>食品类</t>
        </is>
      </c>
      <c r="D211" s="26" t="inlineStr">
        <is>
          <t>雪碧</t>
        </is>
      </c>
      <c r="E211" s="26" t="n"/>
      <c r="F211" s="26" t="inlineStr">
        <is>
          <t>箱</t>
        </is>
      </c>
      <c r="G211" s="6" t="n">
        <v>1</v>
      </c>
      <c r="H211" s="17" t="n">
        <v>51.8</v>
      </c>
      <c r="I211" s="6" t="n">
        <v>51.8</v>
      </c>
      <c r="J211" s="13" t="n">
        <v>2</v>
      </c>
      <c r="K211" s="13" t="n">
        <v>48.55</v>
      </c>
      <c r="L211" s="124" t="n">
        <v>97.09999999999999</v>
      </c>
      <c r="M211" s="17">
        <f>G211+J211</f>
        <v/>
      </c>
      <c r="N211" s="17">
        <f>O211/M211</f>
        <v/>
      </c>
      <c r="O211" s="17">
        <f>I211+L211</f>
        <v/>
      </c>
    </row>
    <row r="212" ht="27" customHeight="1" s="3">
      <c r="A212" s="6" t="n">
        <v>209</v>
      </c>
      <c r="B212" s="9" t="inlineStr">
        <is>
          <t>WG00031</t>
        </is>
      </c>
      <c r="C212" s="13" t="inlineStr">
        <is>
          <t>食品类</t>
        </is>
      </c>
      <c r="D212" s="26" t="inlineStr">
        <is>
          <t>西红柿（网购）</t>
        </is>
      </c>
      <c r="E212" s="26" t="n"/>
      <c r="F212" s="26" t="inlineStr">
        <is>
          <t>件</t>
        </is>
      </c>
      <c r="G212" s="17" t="n">
        <v>0</v>
      </c>
      <c r="H212" s="17" t="n">
        <v>0</v>
      </c>
      <c r="I212" s="17" t="n">
        <v>0</v>
      </c>
      <c r="J212" s="13" t="n">
        <v>1</v>
      </c>
      <c r="K212" s="13" t="n">
        <v>8.289999999999999</v>
      </c>
      <c r="L212" s="124" t="n">
        <v>8.289999999999999</v>
      </c>
      <c r="M212" s="17">
        <f>G212+J212</f>
        <v/>
      </c>
      <c r="N212" s="17">
        <f>O212/M212</f>
        <v/>
      </c>
      <c r="O212" s="17">
        <f>I212+L212</f>
        <v/>
      </c>
    </row>
    <row r="213" ht="27" customHeight="1" s="3">
      <c r="A213" s="6" t="n">
        <v>210</v>
      </c>
      <c r="B213" s="9" t="inlineStr">
        <is>
          <t>WG00032</t>
        </is>
      </c>
      <c r="C213" s="13" t="inlineStr">
        <is>
          <t>食品类</t>
        </is>
      </c>
      <c r="D213" s="26" t="inlineStr">
        <is>
          <t>酸豆角（网购）</t>
        </is>
      </c>
      <c r="E213" s="26" t="n"/>
      <c r="F213" s="26" t="inlineStr">
        <is>
          <t>件</t>
        </is>
      </c>
      <c r="G213" s="17" t="n">
        <v>0</v>
      </c>
      <c r="H213" s="17" t="n">
        <v>0</v>
      </c>
      <c r="I213" s="17" t="n">
        <v>0</v>
      </c>
      <c r="J213" s="13" t="n"/>
      <c r="K213" s="13" t="n"/>
      <c r="L213" s="124" t="n"/>
      <c r="M213" s="17">
        <f>G213+J213</f>
        <v/>
      </c>
      <c r="N213" s="17">
        <f>O213/M213</f>
        <v/>
      </c>
      <c r="O213" s="17">
        <f>I213+L213</f>
        <v/>
      </c>
    </row>
    <row r="214" ht="14.25" customHeight="1" s="3">
      <c r="A214" s="6" t="n">
        <v>211</v>
      </c>
      <c r="B214" s="9" t="inlineStr">
        <is>
          <t>WG00033</t>
        </is>
      </c>
      <c r="C214" s="13" t="inlineStr">
        <is>
          <t>食品类</t>
        </is>
      </c>
      <c r="D214" s="16" t="inlineStr">
        <is>
          <t>大蒜（网购）</t>
        </is>
      </c>
      <c r="E214" s="16" t="n"/>
      <c r="F214" s="13" t="inlineStr">
        <is>
          <t>斤</t>
        </is>
      </c>
      <c r="G214" s="17" t="n">
        <v>0</v>
      </c>
      <c r="H214" s="17" t="n">
        <v>0</v>
      </c>
      <c r="I214" s="17" t="n">
        <v>0</v>
      </c>
      <c r="J214" s="13" t="n"/>
      <c r="K214" s="13" t="n"/>
      <c r="L214" s="124" t="n"/>
      <c r="M214" s="17">
        <f>G214+J214</f>
        <v/>
      </c>
      <c r="N214" s="17">
        <f>O214/M214</f>
        <v/>
      </c>
      <c r="O214" s="17">
        <f>I214+L214</f>
        <v/>
      </c>
    </row>
    <row r="215">
      <c r="A215" s="6" t="n">
        <v>212</v>
      </c>
      <c r="B215" s="9" t="inlineStr">
        <is>
          <t>WG00034</t>
        </is>
      </c>
      <c r="C215" s="13" t="inlineStr">
        <is>
          <t>食品类</t>
        </is>
      </c>
      <c r="D215" s="26" t="inlineStr">
        <is>
          <t>孜然粒</t>
        </is>
      </c>
      <c r="E215" s="26" t="n"/>
      <c r="F215" s="26" t="inlineStr">
        <is>
          <t>件</t>
        </is>
      </c>
      <c r="G215" s="6" t="n">
        <v>0</v>
      </c>
      <c r="H215" s="17" t="n">
        <v>0</v>
      </c>
      <c r="I215" s="6" t="n">
        <v>0</v>
      </c>
      <c r="J215" s="13" t="n">
        <v>1</v>
      </c>
      <c r="K215" s="13" t="n">
        <v>18</v>
      </c>
      <c r="L215" s="124" t="n">
        <v>18</v>
      </c>
      <c r="M215" s="17">
        <f>G215+J215</f>
        <v/>
      </c>
      <c r="N215" s="17">
        <f>O215/M215</f>
        <v/>
      </c>
      <c r="O215" s="17">
        <f>I215+L215</f>
        <v/>
      </c>
    </row>
    <row r="216" ht="27" customHeight="1" s="3">
      <c r="A216" s="6" t="n">
        <v>213</v>
      </c>
      <c r="B216" s="9" t="inlineStr">
        <is>
          <t>WG00035</t>
        </is>
      </c>
      <c r="C216" s="13" t="inlineStr">
        <is>
          <t>食品类</t>
        </is>
      </c>
      <c r="D216" s="26" t="inlineStr">
        <is>
          <t>麻辣撒粉（网购）</t>
        </is>
      </c>
      <c r="E216" s="26" t="n"/>
      <c r="F216" s="26" t="inlineStr">
        <is>
          <t>件</t>
        </is>
      </c>
      <c r="G216" s="17" t="n">
        <v>0</v>
      </c>
      <c r="H216" s="17" t="n">
        <v>0</v>
      </c>
      <c r="I216" s="17" t="n">
        <v>0</v>
      </c>
      <c r="J216" s="13" t="n"/>
      <c r="K216" s="13" t="n"/>
      <c r="L216" s="124" t="n"/>
      <c r="M216" s="17">
        <f>G216+J216</f>
        <v/>
      </c>
      <c r="N216" s="17">
        <f>O216/M216</f>
        <v/>
      </c>
      <c r="O216" s="17">
        <f>I216+L216</f>
        <v/>
      </c>
    </row>
    <row r="217" ht="27" customHeight="1" s="3">
      <c r="A217" s="6" t="n">
        <v>214</v>
      </c>
      <c r="B217" s="9" t="inlineStr">
        <is>
          <t>WG00036</t>
        </is>
      </c>
      <c r="C217" s="13" t="inlineStr">
        <is>
          <t>食品类</t>
        </is>
      </c>
      <c r="D217" s="26" t="inlineStr">
        <is>
          <t>白灼汁（网购）</t>
        </is>
      </c>
      <c r="E217" s="26" t="n"/>
      <c r="F217" s="26" t="inlineStr">
        <is>
          <t>件</t>
        </is>
      </c>
      <c r="G217" s="17" t="n">
        <v>0</v>
      </c>
      <c r="H217" s="17" t="n">
        <v>0</v>
      </c>
      <c r="I217" s="17" t="n">
        <v>0</v>
      </c>
      <c r="J217" s="13" t="n">
        <v>1</v>
      </c>
      <c r="K217" s="13" t="n">
        <v>13.7</v>
      </c>
      <c r="L217" s="124" t="n">
        <v>13.7</v>
      </c>
      <c r="M217" s="17">
        <f>G217+J217</f>
        <v/>
      </c>
      <c r="N217" s="17">
        <f>O217/M217</f>
        <v/>
      </c>
      <c r="O217" s="17">
        <f>I217+L217</f>
        <v/>
      </c>
    </row>
    <row r="218" ht="27" customHeight="1" s="3">
      <c r="A218" s="6" t="n">
        <v>215</v>
      </c>
      <c r="B218" s="9" t="inlineStr">
        <is>
          <t>WG00037</t>
        </is>
      </c>
      <c r="C218" s="13" t="inlineStr">
        <is>
          <t>易耗品</t>
        </is>
      </c>
      <c r="D218" s="26" t="inlineStr">
        <is>
          <t>250打包盒（网购）</t>
        </is>
      </c>
      <c r="E218" s="26" t="n"/>
      <c r="F218" s="26" t="inlineStr">
        <is>
          <t>件</t>
        </is>
      </c>
      <c r="G218" s="17" t="n">
        <v>1</v>
      </c>
      <c r="H218" s="17" t="n">
        <v>56.5</v>
      </c>
      <c r="I218" s="17" t="n">
        <v>56.5</v>
      </c>
      <c r="J218" s="13" t="n">
        <v>1</v>
      </c>
      <c r="K218" s="13" t="n">
        <v>42</v>
      </c>
      <c r="L218" s="126" t="n">
        <v>42</v>
      </c>
      <c r="M218" s="17">
        <f>G218+J218</f>
        <v/>
      </c>
      <c r="N218" s="17">
        <f>O218/M218</f>
        <v/>
      </c>
      <c r="O218" s="17">
        <f>I218+L218</f>
        <v/>
      </c>
    </row>
    <row r="219">
      <c r="A219" s="6" t="n">
        <v>216</v>
      </c>
      <c r="B219" s="9" t="inlineStr">
        <is>
          <t>WG00038</t>
        </is>
      </c>
      <c r="C219" s="13" t="inlineStr">
        <is>
          <t>食品类</t>
        </is>
      </c>
      <c r="D219" s="26" t="inlineStr">
        <is>
          <t>吊龙（网购）</t>
        </is>
      </c>
      <c r="E219" s="26" t="n"/>
      <c r="F219" s="26" t="inlineStr">
        <is>
          <t>件</t>
        </is>
      </c>
      <c r="G219" s="17" t="n">
        <v>0</v>
      </c>
      <c r="H219" s="17" t="n">
        <v>0</v>
      </c>
      <c r="I219" s="17" t="n">
        <v>0</v>
      </c>
      <c r="J219" s="13" t="n"/>
      <c r="K219" s="13" t="n"/>
      <c r="L219" s="124" t="n"/>
      <c r="M219" s="17">
        <f>G219+J219</f>
        <v/>
      </c>
      <c r="N219" s="17">
        <f>O219/M219</f>
        <v/>
      </c>
      <c r="O219" s="17">
        <f>I219+L219</f>
        <v/>
      </c>
    </row>
    <row r="220">
      <c r="A220" s="6" t="n">
        <v>217</v>
      </c>
      <c r="B220" s="9" t="inlineStr">
        <is>
          <t>WG00039</t>
        </is>
      </c>
      <c r="C220" s="13" t="inlineStr">
        <is>
          <t>食品类</t>
        </is>
      </c>
      <c r="D220" s="26" t="inlineStr">
        <is>
          <t>面条（网购）</t>
        </is>
      </c>
      <c r="E220" s="26" t="n"/>
      <c r="F220" s="26" t="inlineStr">
        <is>
          <t>件</t>
        </is>
      </c>
      <c r="G220" s="17" t="n">
        <v>0</v>
      </c>
      <c r="H220" s="17" t="n">
        <v>0</v>
      </c>
      <c r="I220" s="17" t="n">
        <v>0</v>
      </c>
      <c r="J220" s="13" t="n">
        <v>10</v>
      </c>
      <c r="K220" s="13" t="n">
        <v>3</v>
      </c>
      <c r="L220" s="124" t="n">
        <v>30</v>
      </c>
      <c r="M220" s="17">
        <f>G220+J220</f>
        <v/>
      </c>
      <c r="N220" s="17">
        <f>O220/M220</f>
        <v/>
      </c>
      <c r="O220" s="17">
        <f>I220+L220</f>
        <v/>
      </c>
    </row>
    <row r="221">
      <c r="A221" s="6" t="n">
        <v>218</v>
      </c>
      <c r="B221" s="9" t="inlineStr">
        <is>
          <t>WG00040</t>
        </is>
      </c>
      <c r="C221" s="13" t="inlineStr">
        <is>
          <t>食品类</t>
        </is>
      </c>
      <c r="D221" s="26" t="inlineStr">
        <is>
          <t>葱（网购）</t>
        </is>
      </c>
      <c r="E221" s="26" t="n"/>
      <c r="F221" s="26" t="inlineStr">
        <is>
          <t>件</t>
        </is>
      </c>
      <c r="G221" s="17" t="n">
        <v>0</v>
      </c>
      <c r="H221" s="17" t="n">
        <v>0</v>
      </c>
      <c r="I221" s="17" t="n">
        <v>0</v>
      </c>
      <c r="J221" s="13" t="n"/>
      <c r="K221" s="13" t="n"/>
      <c r="L221" s="124" t="n"/>
      <c r="M221" s="17">
        <f>G221+J221</f>
        <v/>
      </c>
      <c r="N221" s="17">
        <f>O221/M221</f>
        <v/>
      </c>
      <c r="O221" s="17">
        <f>I221+L221</f>
        <v/>
      </c>
    </row>
    <row r="222">
      <c r="A222" s="6" t="n">
        <v>219</v>
      </c>
      <c r="B222" s="9" t="inlineStr">
        <is>
          <t>WG00041</t>
        </is>
      </c>
      <c r="C222" s="13" t="inlineStr">
        <is>
          <t>食品类</t>
        </is>
      </c>
      <c r="D222" s="26" t="inlineStr">
        <is>
          <t>生姜（网购）</t>
        </is>
      </c>
      <c r="E222" s="26" t="n"/>
      <c r="F222" s="26" t="inlineStr">
        <is>
          <t>件</t>
        </is>
      </c>
      <c r="G222" s="17" t="n">
        <v>0</v>
      </c>
      <c r="H222" s="17" t="n">
        <v>0</v>
      </c>
      <c r="I222" s="17" t="n">
        <v>0</v>
      </c>
      <c r="J222" s="13" t="n">
        <v>5</v>
      </c>
      <c r="K222" s="13" t="n">
        <v>4.05</v>
      </c>
      <c r="L222" s="124" t="n">
        <v>20.25</v>
      </c>
      <c r="M222" s="17">
        <f>G222+J222</f>
        <v/>
      </c>
      <c r="N222" s="17">
        <f>O222/M222</f>
        <v/>
      </c>
      <c r="O222" s="17">
        <f>I222+L222</f>
        <v/>
      </c>
    </row>
    <row r="223">
      <c r="A223" s="6" t="n">
        <v>220</v>
      </c>
      <c r="B223" s="9" t="inlineStr">
        <is>
          <t>WG00042</t>
        </is>
      </c>
      <c r="C223" s="13" t="inlineStr">
        <is>
          <t>食品类</t>
        </is>
      </c>
      <c r="D223" s="26" t="inlineStr">
        <is>
          <t>香菜（网购）</t>
        </is>
      </c>
      <c r="E223" s="26" t="n"/>
      <c r="F223" s="26" t="inlineStr">
        <is>
          <t>件</t>
        </is>
      </c>
      <c r="G223" s="17" t="n">
        <v>0</v>
      </c>
      <c r="H223" s="17" t="n">
        <v>0</v>
      </c>
      <c r="I223" s="17" t="n">
        <v>0</v>
      </c>
      <c r="J223" s="13" t="n"/>
      <c r="K223" s="13" t="n"/>
      <c r="L223" s="124" t="n"/>
      <c r="M223" s="17">
        <f>G223+J223</f>
        <v/>
      </c>
      <c r="N223" s="17">
        <f>O223/M223</f>
        <v/>
      </c>
      <c r="O223" s="17">
        <f>I223+L223</f>
        <v/>
      </c>
    </row>
    <row r="224">
      <c r="A224" s="6" t="n">
        <v>221</v>
      </c>
      <c r="B224" s="9" t="inlineStr">
        <is>
          <t>WG00043</t>
        </is>
      </c>
      <c r="C224" s="13" t="inlineStr">
        <is>
          <t>食品类</t>
        </is>
      </c>
      <c r="D224" s="26" t="inlineStr">
        <is>
          <t>蒜米（网购）</t>
        </is>
      </c>
      <c r="E224" s="26" t="n"/>
      <c r="F224" s="26" t="inlineStr">
        <is>
          <t>件</t>
        </is>
      </c>
      <c r="G224" s="17" t="n">
        <v>0</v>
      </c>
      <c r="H224" s="17" t="n">
        <v>0</v>
      </c>
      <c r="I224" s="17" t="n">
        <v>0</v>
      </c>
      <c r="J224" s="13" t="n"/>
      <c r="K224" s="13" t="n"/>
      <c r="L224" s="124" t="n"/>
      <c r="M224" s="17">
        <f>G224+J224</f>
        <v/>
      </c>
      <c r="N224" s="17">
        <f>O224/M224</f>
        <v/>
      </c>
      <c r="O224" s="17">
        <f>I224+L224</f>
        <v/>
      </c>
    </row>
    <row r="225" ht="27" customHeight="1" s="3">
      <c r="A225" s="6" t="n">
        <v>222</v>
      </c>
      <c r="B225" s="9" t="inlineStr">
        <is>
          <t>WG00044</t>
        </is>
      </c>
      <c r="C225" s="13" t="inlineStr">
        <is>
          <t>食品类</t>
        </is>
      </c>
      <c r="D225" s="26" t="inlineStr">
        <is>
          <t>黄牛肉（网购）</t>
        </is>
      </c>
      <c r="E225" s="26" t="n"/>
      <c r="F225" s="26" t="inlineStr">
        <is>
          <t>斤</t>
        </is>
      </c>
      <c r="G225" s="17" t="n">
        <v>0</v>
      </c>
      <c r="H225" s="17" t="n">
        <v>0</v>
      </c>
      <c r="I225" s="17" t="n">
        <v>0</v>
      </c>
      <c r="J225" s="13" t="n"/>
      <c r="K225" s="13" t="n"/>
      <c r="L225" s="124" t="n"/>
      <c r="M225" s="17">
        <f>G225+J225</f>
        <v/>
      </c>
      <c r="N225" s="17">
        <f>O225/M225</f>
        <v/>
      </c>
      <c r="O225" s="17">
        <f>I225+L225</f>
        <v/>
      </c>
    </row>
    <row r="226">
      <c r="A226" s="6" t="n">
        <v>223</v>
      </c>
      <c r="B226" s="9" t="inlineStr">
        <is>
          <t>WG00045</t>
        </is>
      </c>
      <c r="C226" s="13" t="inlineStr">
        <is>
          <t>食品类</t>
        </is>
      </c>
      <c r="D226" s="26" t="inlineStr">
        <is>
          <t>牛杂（网购）</t>
        </is>
      </c>
      <c r="E226" s="26" t="n"/>
      <c r="F226" s="26" t="inlineStr">
        <is>
          <t>斤</t>
        </is>
      </c>
      <c r="G226" s="17" t="n">
        <v>0</v>
      </c>
      <c r="H226" s="17" t="n">
        <v>0</v>
      </c>
      <c r="I226" s="17" t="n">
        <v>0</v>
      </c>
      <c r="J226" s="13" t="n"/>
      <c r="K226" s="13" t="n"/>
      <c r="L226" s="124" t="n"/>
      <c r="M226" s="17">
        <f>G226+J226</f>
        <v/>
      </c>
      <c r="N226" s="17">
        <f>O226/M226</f>
        <v/>
      </c>
      <c r="O226" s="17">
        <f>I226+L226</f>
        <v/>
      </c>
    </row>
    <row r="227" ht="27" customHeight="1" s="3">
      <c r="A227" s="6" t="n">
        <v>224</v>
      </c>
      <c r="B227" s="9" t="inlineStr">
        <is>
          <t>WG00046</t>
        </is>
      </c>
      <c r="C227" s="13" t="inlineStr">
        <is>
          <t>食品类</t>
        </is>
      </c>
      <c r="D227" s="26" t="inlineStr">
        <is>
          <t>狼牙土豆（网购）</t>
        </is>
      </c>
      <c r="E227" s="26" t="n"/>
      <c r="F227" s="26" t="inlineStr">
        <is>
          <t>件</t>
        </is>
      </c>
      <c r="G227" s="17" t="n">
        <v>0</v>
      </c>
      <c r="H227" s="17" t="n">
        <v>0</v>
      </c>
      <c r="I227" s="17" t="n">
        <v>0</v>
      </c>
      <c r="J227" s="13" t="n"/>
      <c r="K227" s="13" t="n"/>
      <c r="L227" s="124" t="n"/>
      <c r="M227" s="17">
        <f>G227+J227</f>
        <v/>
      </c>
      <c r="N227" s="17">
        <f>O227/M227</f>
        <v/>
      </c>
      <c r="O227" s="17">
        <f>I227+L227</f>
        <v/>
      </c>
    </row>
    <row r="228">
      <c r="A228" s="6" t="n">
        <v>225</v>
      </c>
      <c r="B228" s="9" t="inlineStr">
        <is>
          <t>WG00047</t>
        </is>
      </c>
      <c r="C228" s="13" t="inlineStr">
        <is>
          <t>食品类</t>
        </is>
      </c>
      <c r="D228" s="26" t="inlineStr">
        <is>
          <t>肥肠（网购）</t>
        </is>
      </c>
      <c r="E228" s="26" t="n"/>
      <c r="F228" s="26" t="inlineStr">
        <is>
          <t>斤</t>
        </is>
      </c>
      <c r="G228" s="17" t="n">
        <v>0</v>
      </c>
      <c r="H228" s="17" t="n">
        <v>0</v>
      </c>
      <c r="I228" s="17" t="n">
        <v>0</v>
      </c>
      <c r="J228" s="13" t="n"/>
      <c r="K228" s="13" t="n"/>
      <c r="L228" s="124" t="n"/>
      <c r="M228" s="17">
        <f>G228+J228</f>
        <v/>
      </c>
      <c r="N228" s="17">
        <f>O228/M228</f>
        <v/>
      </c>
      <c r="O228" s="17">
        <f>I228+L228</f>
        <v/>
      </c>
    </row>
    <row r="229" ht="27" customHeight="1" s="3">
      <c r="A229" s="6" t="n">
        <v>226</v>
      </c>
      <c r="B229" s="9" t="inlineStr">
        <is>
          <t>WG00048</t>
        </is>
      </c>
      <c r="C229" s="13" t="inlineStr">
        <is>
          <t>食品类</t>
        </is>
      </c>
      <c r="D229" s="26" t="inlineStr">
        <is>
          <t>抹茶豆花粉(网购)</t>
        </is>
      </c>
      <c r="E229" s="26" t="n"/>
      <c r="F229" s="26" t="inlineStr">
        <is>
          <t>件</t>
        </is>
      </c>
      <c r="G229" s="17" t="n">
        <v>0</v>
      </c>
      <c r="H229" s="17" t="n">
        <v>0</v>
      </c>
      <c r="I229" s="17" t="n">
        <v>0</v>
      </c>
      <c r="J229" s="13" t="n"/>
      <c r="K229" s="13" t="n"/>
      <c r="L229" s="124" t="n"/>
      <c r="M229" s="17">
        <f>G229+J229</f>
        <v/>
      </c>
      <c r="N229" s="17">
        <f>O229/M229</f>
        <v/>
      </c>
      <c r="O229" s="17">
        <f>I229+L229</f>
        <v/>
      </c>
    </row>
    <row r="230">
      <c r="A230" s="6" t="n">
        <v>227</v>
      </c>
      <c r="B230" s="9" t="inlineStr">
        <is>
          <t>WG00049</t>
        </is>
      </c>
      <c r="C230" s="13" t="inlineStr">
        <is>
          <t>食品类</t>
        </is>
      </c>
      <c r="D230" s="26" t="inlineStr">
        <is>
          <t>土豆片(网购)</t>
        </is>
      </c>
      <c r="E230" s="26" t="n"/>
      <c r="F230" s="26" t="inlineStr">
        <is>
          <t>件</t>
        </is>
      </c>
      <c r="G230" s="17" t="n">
        <v>0</v>
      </c>
      <c r="H230" s="17" t="n">
        <v>0</v>
      </c>
      <c r="I230" s="17" t="n">
        <v>0</v>
      </c>
      <c r="J230" s="13" t="n">
        <v>1</v>
      </c>
      <c r="K230" s="13" t="n">
        <v>24.45</v>
      </c>
      <c r="L230" s="126" t="n">
        <v>24.45</v>
      </c>
      <c r="M230" s="17">
        <f>G230+J230</f>
        <v/>
      </c>
      <c r="N230" s="17">
        <f>O230/M230</f>
        <v/>
      </c>
      <c r="O230" s="17">
        <f>I230+L230</f>
        <v/>
      </c>
    </row>
    <row r="231">
      <c r="A231" s="6" t="n">
        <v>228</v>
      </c>
      <c r="B231" s="9" t="inlineStr">
        <is>
          <t>WG00050</t>
        </is>
      </c>
      <c r="C231" s="13" t="inlineStr">
        <is>
          <t>食品类</t>
        </is>
      </c>
      <c r="D231" s="26" t="inlineStr">
        <is>
          <t>红豆罐头</t>
        </is>
      </c>
      <c r="E231" s="26" t="n"/>
      <c r="F231" s="26" t="inlineStr">
        <is>
          <t>瓶</t>
        </is>
      </c>
      <c r="G231" s="17" t="n">
        <v>0</v>
      </c>
      <c r="H231" s="17" t="n">
        <v>0</v>
      </c>
      <c r="I231" s="17" t="n">
        <v>0</v>
      </c>
      <c r="J231" s="13" t="n"/>
      <c r="K231" s="13" t="n"/>
      <c r="L231" s="124" t="n"/>
      <c r="M231" s="17">
        <f>G231+J231</f>
        <v/>
      </c>
      <c r="N231" s="17">
        <f>O231/M231</f>
        <v/>
      </c>
      <c r="O231" s="17">
        <f>I231+L231</f>
        <v/>
      </c>
    </row>
    <row r="232">
      <c r="A232" s="6" t="n">
        <v>229</v>
      </c>
      <c r="B232" s="9" t="inlineStr">
        <is>
          <t>WG00051</t>
        </is>
      </c>
      <c r="C232" s="13" t="inlineStr">
        <is>
          <t>食品类</t>
        </is>
      </c>
      <c r="D232" s="13" t="inlineStr">
        <is>
          <t>陈醋（网购）</t>
        </is>
      </c>
      <c r="E232" s="26" t="n"/>
      <c r="F232" s="13" t="inlineStr">
        <is>
          <t>件</t>
        </is>
      </c>
      <c r="G232" s="17" t="n">
        <v>0</v>
      </c>
      <c r="H232" s="17" t="n">
        <v>0</v>
      </c>
      <c r="I232" s="17" t="n">
        <v>0</v>
      </c>
      <c r="J232" s="13" t="n">
        <v>1</v>
      </c>
      <c r="K232" s="13" t="n">
        <v>53.49</v>
      </c>
      <c r="L232" s="124" t="n">
        <v>53.49</v>
      </c>
      <c r="M232" s="17">
        <f>G232+J232</f>
        <v/>
      </c>
      <c r="N232" s="17">
        <f>O232/M232</f>
        <v/>
      </c>
      <c r="O232" s="17">
        <f>I232+L232</f>
        <v/>
      </c>
    </row>
    <row r="233">
      <c r="A233" s="6" t="n">
        <v>230</v>
      </c>
      <c r="B233" s="9" t="inlineStr">
        <is>
          <t>WG00052</t>
        </is>
      </c>
      <c r="C233" s="13" t="inlineStr">
        <is>
          <t>食品类</t>
        </is>
      </c>
      <c r="D233" s="13" t="inlineStr">
        <is>
          <t>兰花干（网购）</t>
        </is>
      </c>
      <c r="E233" s="26" t="n"/>
      <c r="F233" s="13" t="inlineStr">
        <is>
          <t>件</t>
        </is>
      </c>
      <c r="G233" s="17" t="n">
        <v>0</v>
      </c>
      <c r="H233" s="17" t="n">
        <v>0</v>
      </c>
      <c r="I233" s="17" t="n">
        <v>0</v>
      </c>
      <c r="J233" s="13" t="n"/>
      <c r="K233" s="13" t="n"/>
      <c r="L233" s="124" t="n"/>
      <c r="M233" s="17">
        <f>G233+J233</f>
        <v/>
      </c>
      <c r="N233" s="17">
        <f>O233/M233</f>
        <v/>
      </c>
      <c r="O233" s="17">
        <f>I233+L233</f>
        <v/>
      </c>
    </row>
    <row r="234">
      <c r="A234" s="6" t="n">
        <v>231</v>
      </c>
      <c r="B234" s="9" t="inlineStr">
        <is>
          <t>WG00053</t>
        </is>
      </c>
      <c r="C234" s="13" t="inlineStr">
        <is>
          <t>食品类</t>
        </is>
      </c>
      <c r="D234" s="13" t="inlineStr">
        <is>
          <t>木薯（网购）</t>
        </is>
      </c>
      <c r="E234" s="26" t="n"/>
      <c r="F234" s="13" t="inlineStr">
        <is>
          <t>包</t>
        </is>
      </c>
      <c r="G234" s="17" t="n">
        <v>0</v>
      </c>
      <c r="H234" s="17" t="n">
        <v>0</v>
      </c>
      <c r="I234" s="17" t="n">
        <v>0</v>
      </c>
      <c r="J234" s="13" t="n"/>
      <c r="K234" s="13" t="n"/>
      <c r="L234" s="124" t="n"/>
      <c r="M234" s="17">
        <f>G234+J234</f>
        <v/>
      </c>
      <c r="N234" s="17">
        <f>O234/M234</f>
        <v/>
      </c>
      <c r="O234" s="17">
        <f>I234+L234</f>
        <v/>
      </c>
    </row>
    <row r="235">
      <c r="A235" s="6" t="n">
        <v>232</v>
      </c>
      <c r="B235" s="9" t="inlineStr">
        <is>
          <t>WG00054</t>
        </is>
      </c>
      <c r="C235" s="13" t="inlineStr">
        <is>
          <t>食品类</t>
        </is>
      </c>
      <c r="D235" s="13" t="inlineStr">
        <is>
          <t>西柚（网购）</t>
        </is>
      </c>
      <c r="E235" s="26" t="n"/>
      <c r="F235" s="13" t="inlineStr">
        <is>
          <t>瓶</t>
        </is>
      </c>
      <c r="G235" s="17" t="n">
        <v>1</v>
      </c>
      <c r="H235" s="17" t="n">
        <v>6</v>
      </c>
      <c r="I235" s="17" t="n">
        <v>6</v>
      </c>
      <c r="J235" s="13" t="n">
        <v>4</v>
      </c>
      <c r="K235" s="13" t="n">
        <v>15.675</v>
      </c>
      <c r="L235" s="124" t="n">
        <v>62.7</v>
      </c>
      <c r="M235" s="17">
        <f>G235+J235</f>
        <v/>
      </c>
      <c r="N235" s="17">
        <f>O235/M235</f>
        <v/>
      </c>
      <c r="O235" s="17">
        <f>I235+L235</f>
        <v/>
      </c>
    </row>
    <row r="236">
      <c r="A236" s="6" t="n">
        <v>233</v>
      </c>
      <c r="B236" s="9" t="inlineStr">
        <is>
          <t>WG00055</t>
        </is>
      </c>
      <c r="C236" s="13" t="inlineStr">
        <is>
          <t>食品类</t>
        </is>
      </c>
      <c r="D236" s="13" t="inlineStr">
        <is>
          <t>西米（网购）</t>
        </is>
      </c>
      <c r="E236" s="26" t="n"/>
      <c r="F236" s="13" t="inlineStr">
        <is>
          <t>瓶</t>
        </is>
      </c>
      <c r="G236" s="17" t="n">
        <v>0</v>
      </c>
      <c r="H236" s="17" t="n">
        <v>0</v>
      </c>
      <c r="I236" s="17" t="n">
        <v>0</v>
      </c>
      <c r="J236" s="13" t="n">
        <v>1</v>
      </c>
      <c r="K236" s="13" t="n">
        <v>15</v>
      </c>
      <c r="L236" s="124" t="n">
        <v>15</v>
      </c>
      <c r="M236" s="17">
        <f>G236+J236</f>
        <v/>
      </c>
      <c r="N236" s="17">
        <f>O236/M236</f>
        <v/>
      </c>
      <c r="O236" s="17">
        <f>I236+L236</f>
        <v/>
      </c>
    </row>
    <row r="237">
      <c r="A237" s="6" t="n">
        <v>234</v>
      </c>
      <c r="B237" s="9" t="inlineStr">
        <is>
          <t>WG00056</t>
        </is>
      </c>
      <c r="C237" s="13" t="inlineStr">
        <is>
          <t>食品类</t>
        </is>
      </c>
      <c r="D237" s="13" t="inlineStr">
        <is>
          <t>杨梅汁（网购）</t>
        </is>
      </c>
      <c r="E237" s="26" t="n"/>
      <c r="F237" s="13" t="inlineStr">
        <is>
          <t>件</t>
        </is>
      </c>
      <c r="G237" s="17" t="n">
        <v>0</v>
      </c>
      <c r="H237" s="17" t="n">
        <v>0</v>
      </c>
      <c r="I237" s="17" t="n">
        <v>0</v>
      </c>
      <c r="J237" s="13" t="n"/>
      <c r="K237" s="13" t="n"/>
      <c r="L237" s="124" t="n"/>
      <c r="M237" s="17">
        <f>G237+J237</f>
        <v/>
      </c>
      <c r="N237" s="17">
        <f>O237/M237</f>
        <v/>
      </c>
      <c r="O237" s="17">
        <f>I237+L237</f>
        <v/>
      </c>
    </row>
    <row r="238">
      <c r="A238" s="6" t="n">
        <v>235</v>
      </c>
      <c r="B238" s="9" t="inlineStr">
        <is>
          <t>WG00057</t>
        </is>
      </c>
      <c r="C238" s="13" t="inlineStr">
        <is>
          <t>食品类</t>
        </is>
      </c>
      <c r="D238" s="13" t="inlineStr">
        <is>
          <t>水晶粉丝（网购）</t>
        </is>
      </c>
      <c r="E238" s="26" t="n"/>
      <c r="F238" s="13" t="inlineStr">
        <is>
          <t>包</t>
        </is>
      </c>
      <c r="G238" s="17" t="n">
        <v>0</v>
      </c>
      <c r="H238" s="17" t="n">
        <v>0</v>
      </c>
      <c r="I238" s="17" t="n">
        <v>0</v>
      </c>
      <c r="J238" s="13" t="n"/>
      <c r="K238" s="13" t="n"/>
      <c r="L238" s="124" t="n"/>
      <c r="M238" s="17">
        <f>G238+J238</f>
        <v/>
      </c>
      <c r="N238" s="17">
        <f>O238/M238</f>
        <v/>
      </c>
      <c r="O238" s="17">
        <f>I238+L238</f>
        <v/>
      </c>
    </row>
    <row r="239">
      <c r="A239" s="6" t="n">
        <v>236</v>
      </c>
      <c r="B239" s="9" t="inlineStr">
        <is>
          <t>WG00058</t>
        </is>
      </c>
      <c r="C239" s="13" t="inlineStr">
        <is>
          <t>食品类</t>
        </is>
      </c>
      <c r="D239" s="13" t="inlineStr">
        <is>
          <t>椒盐粉</t>
        </is>
      </c>
      <c r="E239" s="13" t="n"/>
      <c r="F239" s="13" t="inlineStr">
        <is>
          <t>件</t>
        </is>
      </c>
      <c r="G239" s="17" t="n">
        <v>0</v>
      </c>
      <c r="H239" s="17" t="n">
        <v>0</v>
      </c>
      <c r="I239" s="17" t="n">
        <v>0</v>
      </c>
      <c r="J239" s="13" t="n"/>
      <c r="K239" s="13" t="n"/>
      <c r="L239" s="124" t="n"/>
      <c r="M239" s="17">
        <f>G239+J239</f>
        <v/>
      </c>
      <c r="N239" s="17">
        <f>O239/M239</f>
        <v/>
      </c>
      <c r="O239" s="17">
        <f>I239+L239</f>
        <v/>
      </c>
    </row>
    <row r="240">
      <c r="A240" s="6" t="n">
        <v>237</v>
      </c>
      <c r="B240" s="9" t="inlineStr">
        <is>
          <t>WG00059</t>
        </is>
      </c>
      <c r="C240" s="13" t="inlineStr">
        <is>
          <t>食品类</t>
        </is>
      </c>
      <c r="D240" s="13" t="inlineStr">
        <is>
          <t>拉丝豆干</t>
        </is>
      </c>
      <c r="E240" s="13" t="n"/>
      <c r="F240" s="13" t="inlineStr">
        <is>
          <t>件</t>
        </is>
      </c>
      <c r="G240" s="6" t="n">
        <v>2</v>
      </c>
      <c r="H240" s="17" t="n">
        <v>146</v>
      </c>
      <c r="I240" s="6" t="n">
        <v>292</v>
      </c>
      <c r="J240" s="13" t="n">
        <v>2</v>
      </c>
      <c r="K240" s="13" t="n">
        <v>147</v>
      </c>
      <c r="L240" s="124" t="n">
        <v>294</v>
      </c>
      <c r="M240" s="17">
        <f>G240+J240</f>
        <v/>
      </c>
      <c r="N240" s="17">
        <f>O240/M240</f>
        <v/>
      </c>
      <c r="O240" s="17">
        <f>I240+L240</f>
        <v/>
      </c>
    </row>
    <row r="241" ht="14.25" customHeight="1" s="3">
      <c r="A241" s="6" t="n">
        <v>238</v>
      </c>
      <c r="B241" s="9" t="inlineStr">
        <is>
          <t>WG00060</t>
        </is>
      </c>
      <c r="C241" s="13" t="inlineStr">
        <is>
          <t>食品类</t>
        </is>
      </c>
      <c r="D241" s="16" t="inlineStr">
        <is>
          <t>娃娃菜（网购）</t>
        </is>
      </c>
      <c r="E241" s="16" t="n"/>
      <c r="F241" s="13" t="inlineStr">
        <is>
          <t>斤</t>
        </is>
      </c>
      <c r="G241" s="6" t="n">
        <v>0</v>
      </c>
      <c r="H241" s="17" t="n">
        <v>0</v>
      </c>
      <c r="I241" s="6" t="n">
        <v>0</v>
      </c>
      <c r="J241" s="13" t="n">
        <v>1</v>
      </c>
      <c r="K241" s="13" t="n">
        <v>7.98</v>
      </c>
      <c r="L241" s="124" t="n">
        <v>7.98</v>
      </c>
      <c r="M241" s="17">
        <f>G241+J241</f>
        <v/>
      </c>
      <c r="N241" s="17">
        <f>O241/M241</f>
        <v/>
      </c>
      <c r="O241" s="17">
        <f>I241+L241</f>
        <v/>
      </c>
    </row>
    <row r="242" ht="14.25" customHeight="1" s="3">
      <c r="A242" s="6" t="n">
        <v>239</v>
      </c>
      <c r="B242" s="9" t="inlineStr">
        <is>
          <t>WG00061</t>
        </is>
      </c>
      <c r="C242" s="13" t="inlineStr">
        <is>
          <t>食品类</t>
        </is>
      </c>
      <c r="D242" s="16" t="inlineStr">
        <is>
          <t>千张（网购）</t>
        </is>
      </c>
      <c r="E242" s="16" t="n"/>
      <c r="F242" s="13" t="inlineStr">
        <is>
          <t>斤</t>
        </is>
      </c>
      <c r="G242" s="6" t="n">
        <v>0</v>
      </c>
      <c r="H242" s="17" t="n">
        <v>0</v>
      </c>
      <c r="I242" s="6" t="n">
        <v>0</v>
      </c>
      <c r="J242" s="13" t="n"/>
      <c r="K242" s="13" t="n"/>
      <c r="L242" s="124" t="n"/>
      <c r="M242" s="17">
        <f>G242+J242</f>
        <v/>
      </c>
      <c r="N242" s="17">
        <f>O242/M242</f>
        <v/>
      </c>
      <c r="O242" s="17">
        <f>I242+L242</f>
        <v/>
      </c>
    </row>
    <row r="243" ht="14.25" customHeight="1" s="3">
      <c r="A243" s="6" t="n">
        <v>240</v>
      </c>
      <c r="B243" s="9" t="inlineStr">
        <is>
          <t>WG00062</t>
        </is>
      </c>
      <c r="C243" s="13" t="inlineStr">
        <is>
          <t>食品类</t>
        </is>
      </c>
      <c r="D243" s="16" t="inlineStr">
        <is>
          <t>金针菇（网购）</t>
        </is>
      </c>
      <c r="E243" s="16" t="n"/>
      <c r="F243" s="13" t="inlineStr">
        <is>
          <t>斤</t>
        </is>
      </c>
      <c r="G243" s="6" t="n">
        <v>0</v>
      </c>
      <c r="H243" s="17" t="n">
        <v>0</v>
      </c>
      <c r="I243" s="6" t="n">
        <v>0</v>
      </c>
      <c r="J243" s="13" t="n"/>
      <c r="K243" s="13" t="n"/>
      <c r="L243" s="124" t="n"/>
      <c r="M243" s="17">
        <f>G243+J243</f>
        <v/>
      </c>
      <c r="N243" s="17">
        <f>O243/M243</f>
        <v/>
      </c>
      <c r="O243" s="17">
        <f>I243+L243</f>
        <v/>
      </c>
    </row>
    <row r="244" ht="14.25" customHeight="1" s="3">
      <c r="A244" s="6" t="n">
        <v>241</v>
      </c>
      <c r="B244" s="9" t="inlineStr">
        <is>
          <t>WG00063</t>
        </is>
      </c>
      <c r="C244" s="13" t="inlineStr">
        <is>
          <t>食品类</t>
        </is>
      </c>
      <c r="D244" s="16" t="inlineStr">
        <is>
          <t>猪腱子肉（网购）</t>
        </is>
      </c>
      <c r="E244" s="16" t="n"/>
      <c r="F244" s="13" t="inlineStr">
        <is>
          <t>斤</t>
        </is>
      </c>
      <c r="G244" s="6" t="n">
        <v>0</v>
      </c>
      <c r="H244" s="17" t="n">
        <v>0</v>
      </c>
      <c r="I244" s="6" t="n">
        <v>0</v>
      </c>
      <c r="J244" s="13" t="n"/>
      <c r="K244" s="13" t="n"/>
      <c r="L244" s="124" t="n"/>
      <c r="M244" s="17">
        <f>G244+J244</f>
        <v/>
      </c>
      <c r="N244" s="17">
        <f>O244/M244</f>
        <v/>
      </c>
      <c r="O244" s="17">
        <f>I244+L244</f>
        <v/>
      </c>
    </row>
    <row r="245" ht="14.25" customHeight="1" s="3">
      <c r="A245" s="6" t="n">
        <v>242</v>
      </c>
      <c r="B245" s="9" t="inlineStr">
        <is>
          <t>WG00064</t>
        </is>
      </c>
      <c r="C245" s="13" t="inlineStr">
        <is>
          <t>食品类</t>
        </is>
      </c>
      <c r="D245" s="16" t="inlineStr">
        <is>
          <t>牛肉馅饼（网购）</t>
        </is>
      </c>
      <c r="E245" s="16" t="n"/>
      <c r="F245" s="13" t="inlineStr">
        <is>
          <t>包</t>
        </is>
      </c>
      <c r="G245" s="6" t="n">
        <v>0</v>
      </c>
      <c r="H245" s="17" t="n">
        <v>0</v>
      </c>
      <c r="I245" s="6" t="n">
        <v>0</v>
      </c>
      <c r="J245" s="13" t="n"/>
      <c r="K245" s="13" t="n"/>
      <c r="L245" s="124" t="n"/>
      <c r="M245" s="17">
        <f>G245+J245</f>
        <v/>
      </c>
      <c r="N245" s="17">
        <f>O245/M245</f>
        <v/>
      </c>
      <c r="O245" s="17">
        <f>I245+L245</f>
        <v/>
      </c>
    </row>
    <row r="246" ht="14.25" customHeight="1" s="3">
      <c r="A246" s="6" t="n">
        <v>243</v>
      </c>
      <c r="B246" s="13" t="inlineStr">
        <is>
          <t>WG00065</t>
        </is>
      </c>
      <c r="C246" s="13" t="inlineStr">
        <is>
          <t>食品类</t>
        </is>
      </c>
      <c r="D246" s="16" t="inlineStr">
        <is>
          <t>厚椰乳（网购）</t>
        </is>
      </c>
      <c r="E246" s="16" t="n"/>
      <c r="F246" s="13" t="inlineStr">
        <is>
          <t>瓶</t>
        </is>
      </c>
      <c r="G246" s="6" t="n">
        <v>0</v>
      </c>
      <c r="H246" s="6" t="n">
        <v>0</v>
      </c>
      <c r="I246" s="6" t="n">
        <v>0</v>
      </c>
      <c r="J246" s="13" t="n"/>
      <c r="K246" s="13" t="n"/>
      <c r="L246" s="124" t="n"/>
      <c r="M246" s="17">
        <f>G246+J246</f>
        <v/>
      </c>
      <c r="N246" s="17">
        <f>O246/M246</f>
        <v/>
      </c>
      <c r="O246" s="17">
        <f>I246+L246</f>
        <v/>
      </c>
    </row>
    <row r="247" ht="14.25" customHeight="1" s="3">
      <c r="A247" s="6" t="n">
        <v>244</v>
      </c>
      <c r="B247" s="13" t="inlineStr">
        <is>
          <t>WG00066</t>
        </is>
      </c>
      <c r="C247" s="13" t="inlineStr">
        <is>
          <t>食品类</t>
        </is>
      </c>
      <c r="D247" s="16" t="inlineStr">
        <is>
          <t>红枣干（网购）</t>
        </is>
      </c>
      <c r="E247" s="16" t="n"/>
      <c r="F247" s="13" t="inlineStr">
        <is>
          <t>包</t>
        </is>
      </c>
      <c r="G247" s="6" t="n">
        <v>0.5</v>
      </c>
      <c r="H247" s="6" t="n">
        <v>28</v>
      </c>
      <c r="I247" s="6" t="n">
        <v>14</v>
      </c>
      <c r="J247" s="13" t="n">
        <v>1</v>
      </c>
      <c r="K247" s="13" t="n">
        <v>10.98</v>
      </c>
      <c r="L247" s="124" t="n">
        <v>10.98</v>
      </c>
      <c r="M247" s="17">
        <f>G247+J247</f>
        <v/>
      </c>
      <c r="N247" s="17">
        <f>O247/M247</f>
        <v/>
      </c>
      <c r="O247" s="17">
        <f>I247+L247</f>
        <v/>
      </c>
    </row>
    <row r="248" ht="14.25" customHeight="1" s="3">
      <c r="A248" s="6" t="n">
        <v>245</v>
      </c>
      <c r="B248" s="13" t="inlineStr">
        <is>
          <t>WG00067</t>
        </is>
      </c>
      <c r="C248" s="13" t="inlineStr">
        <is>
          <t>食品类</t>
        </is>
      </c>
      <c r="D248" s="16" t="inlineStr">
        <is>
          <t>香酥豌豆（网购）</t>
        </is>
      </c>
      <c r="E248" s="16" t="n"/>
      <c r="F248" s="13" t="inlineStr">
        <is>
          <t>件</t>
        </is>
      </c>
      <c r="G248" s="6" t="n">
        <v>0</v>
      </c>
      <c r="H248" s="6" t="n">
        <v>0</v>
      </c>
      <c r="I248" s="6" t="n">
        <v>0</v>
      </c>
      <c r="J248" s="13" t="n"/>
      <c r="K248" s="13" t="n"/>
      <c r="L248" s="124" t="n"/>
      <c r="M248" s="17">
        <f>G248+J248</f>
        <v/>
      </c>
      <c r="N248" s="17">
        <f>O248/M248</f>
        <v/>
      </c>
      <c r="O248" s="17">
        <f>I248+L248</f>
        <v/>
      </c>
    </row>
    <row r="249" ht="14.25" customHeight="1" s="3">
      <c r="A249" s="6" t="n">
        <v>246</v>
      </c>
      <c r="B249" s="13" t="inlineStr">
        <is>
          <t>WG00068</t>
        </is>
      </c>
      <c r="C249" s="13" t="inlineStr">
        <is>
          <t>食品类</t>
        </is>
      </c>
      <c r="D249" s="16" t="inlineStr">
        <is>
          <t>番茄酱（网购）</t>
        </is>
      </c>
      <c r="E249" s="16" t="n"/>
      <c r="F249" s="13" t="inlineStr">
        <is>
          <t>件</t>
        </is>
      </c>
      <c r="G249" s="6" t="n">
        <v>0</v>
      </c>
      <c r="H249" s="6" t="n">
        <v>0</v>
      </c>
      <c r="I249" s="6" t="n">
        <v>0</v>
      </c>
      <c r="J249" s="13" t="n"/>
      <c r="K249" s="13" t="n"/>
      <c r="L249" s="124" t="n"/>
      <c r="M249" s="17">
        <f>G249+J249</f>
        <v/>
      </c>
      <c r="N249" s="17">
        <f>O249/M249</f>
        <v/>
      </c>
      <c r="O249" s="17">
        <f>I249+L249</f>
        <v/>
      </c>
    </row>
    <row r="250" ht="14.25" customHeight="1" s="3">
      <c r="A250" s="6" t="n">
        <v>247</v>
      </c>
      <c r="B250" s="13" t="inlineStr">
        <is>
          <t>WG00069</t>
        </is>
      </c>
      <c r="C250" s="13" t="inlineStr">
        <is>
          <t>食品类</t>
        </is>
      </c>
      <c r="D250" s="16" t="inlineStr">
        <is>
          <t>枸杞（网购）</t>
        </is>
      </c>
      <c r="E250" s="16" t="n"/>
      <c r="F250" s="13" t="inlineStr">
        <is>
          <t>包</t>
        </is>
      </c>
      <c r="G250" s="6" t="n">
        <v>1</v>
      </c>
      <c r="H250" s="6" t="n">
        <v>22.4</v>
      </c>
      <c r="I250" s="6" t="n">
        <v>22.4</v>
      </c>
      <c r="J250" s="13" t="n">
        <v>1</v>
      </c>
      <c r="K250" s="13" t="n">
        <v>9.99</v>
      </c>
      <c r="L250" s="126" t="n">
        <v>9.99</v>
      </c>
      <c r="M250" s="17">
        <f>G250+J250</f>
        <v/>
      </c>
      <c r="N250" s="17">
        <f>O250/M250</f>
        <v/>
      </c>
      <c r="O250" s="17">
        <f>I250+L250</f>
        <v/>
      </c>
    </row>
    <row r="251" ht="14.25" customHeight="1" s="3">
      <c r="A251" s="6" t="n">
        <v>248</v>
      </c>
      <c r="B251" s="13" t="inlineStr">
        <is>
          <t>WG00070</t>
        </is>
      </c>
      <c r="C251" s="13" t="inlineStr">
        <is>
          <t>食品类</t>
        </is>
      </c>
      <c r="D251" s="16" t="inlineStr">
        <is>
          <t>迷你糍粑（网购）</t>
        </is>
      </c>
      <c r="E251" s="16" t="n"/>
      <c r="F251" s="13" t="inlineStr">
        <is>
          <t>件</t>
        </is>
      </c>
      <c r="G251" s="6" t="n">
        <v>1</v>
      </c>
      <c r="H251" s="6" t="n">
        <v>76.09999999999999</v>
      </c>
      <c r="I251" s="6" t="n">
        <v>76.09999999999999</v>
      </c>
      <c r="J251" s="13" t="n">
        <v>2</v>
      </c>
      <c r="K251" s="13" t="n">
        <v>169.25</v>
      </c>
      <c r="L251" s="126" t="n">
        <v>338.5</v>
      </c>
      <c r="M251" s="17">
        <f>G251+J251</f>
        <v/>
      </c>
      <c r="N251" s="17">
        <f>O251/M251</f>
        <v/>
      </c>
      <c r="O251" s="17">
        <f>I251+L251</f>
        <v/>
      </c>
    </row>
    <row r="252" ht="14.25" customHeight="1" s="3">
      <c r="A252" s="6" t="n">
        <v>249</v>
      </c>
      <c r="B252" s="13" t="inlineStr">
        <is>
          <t>WG00071</t>
        </is>
      </c>
      <c r="C252" s="13" t="inlineStr">
        <is>
          <t>食品类</t>
        </is>
      </c>
      <c r="D252" s="16" t="inlineStr">
        <is>
          <t>大米（网购）</t>
        </is>
      </c>
      <c r="E252" s="16" t="n"/>
      <c r="F252" s="13" t="inlineStr">
        <is>
          <t>件</t>
        </is>
      </c>
      <c r="G252" s="6" t="n"/>
      <c r="H252" s="6" t="n"/>
      <c r="I252" s="6" t="n"/>
      <c r="J252" s="13" t="n">
        <v>2</v>
      </c>
      <c r="K252" s="13" t="n">
        <v>134.445</v>
      </c>
      <c r="L252" s="126" t="n">
        <v>268.89</v>
      </c>
      <c r="M252" s="17">
        <f>G252+J252</f>
        <v/>
      </c>
      <c r="N252" s="17">
        <f>O252/M252</f>
        <v/>
      </c>
      <c r="O252" s="17">
        <f>I252+L252</f>
        <v/>
      </c>
    </row>
    <row r="253">
      <c r="A253" s="6" t="n">
        <v>250</v>
      </c>
      <c r="B253" s="9" t="inlineStr">
        <is>
          <t>YH000018</t>
        </is>
      </c>
      <c r="C253" s="13" t="inlineStr">
        <is>
          <t>易耗品</t>
        </is>
      </c>
      <c r="D253" s="26" t="inlineStr">
        <is>
          <t>纸巾（网购）</t>
        </is>
      </c>
      <c r="E253" s="26" t="n"/>
      <c r="F253" s="26" t="inlineStr">
        <is>
          <t>件</t>
        </is>
      </c>
      <c r="G253" s="6" t="n">
        <v>2</v>
      </c>
      <c r="H253" s="17" t="n">
        <v>56.395</v>
      </c>
      <c r="I253" s="6" t="n">
        <v>112.79</v>
      </c>
      <c r="J253" s="13" t="n">
        <v>6</v>
      </c>
      <c r="K253" s="13" t="n">
        <v>50.9266666666667</v>
      </c>
      <c r="L253" s="126" t="n">
        <v>305.56</v>
      </c>
      <c r="M253" s="17">
        <f>G253+J253</f>
        <v/>
      </c>
      <c r="N253" s="17">
        <f>O253/M253</f>
        <v/>
      </c>
      <c r="O253" s="17">
        <f>I253+L253</f>
        <v/>
      </c>
    </row>
    <row r="254" ht="27" customHeight="1" s="3">
      <c r="A254" s="6" t="n">
        <v>251</v>
      </c>
      <c r="B254" s="9" t="inlineStr">
        <is>
          <t>YH000019</t>
        </is>
      </c>
      <c r="C254" s="13" t="inlineStr">
        <is>
          <t>易耗品</t>
        </is>
      </c>
      <c r="D254" s="26" t="inlineStr">
        <is>
          <t>洗洁精（网购）</t>
        </is>
      </c>
      <c r="E254" s="26" t="n"/>
      <c r="F254" s="26" t="inlineStr">
        <is>
          <t>件</t>
        </is>
      </c>
      <c r="G254" s="6" t="n">
        <v>1</v>
      </c>
      <c r="H254" s="17" t="n">
        <v>34.56</v>
      </c>
      <c r="I254" s="6" t="n">
        <v>34.56</v>
      </c>
      <c r="J254" s="13" t="n">
        <v>5</v>
      </c>
      <c r="K254" s="13" t="n">
        <v>30.658</v>
      </c>
      <c r="L254" s="124" t="n">
        <v>153.29</v>
      </c>
      <c r="M254" s="17">
        <f>G254+J254</f>
        <v/>
      </c>
      <c r="N254" s="17">
        <f>O254/M254</f>
        <v/>
      </c>
      <c r="O254" s="17">
        <f>I254+L254</f>
        <v/>
      </c>
    </row>
    <row r="255" ht="27" customHeight="1" s="3">
      <c r="A255" s="6" t="n">
        <v>252</v>
      </c>
      <c r="B255" s="9" t="inlineStr">
        <is>
          <t>YH000020</t>
        </is>
      </c>
      <c r="C255" s="13" t="inlineStr">
        <is>
          <t>易耗品</t>
        </is>
      </c>
      <c r="D255" s="26" t="inlineStr">
        <is>
          <t>一次性筷子网购</t>
        </is>
      </c>
      <c r="E255" s="26" t="n"/>
      <c r="F255" s="26" t="inlineStr">
        <is>
          <t>件</t>
        </is>
      </c>
      <c r="G255" s="17" t="n">
        <v>0.5</v>
      </c>
      <c r="H255" s="17" t="n">
        <v>33.465</v>
      </c>
      <c r="I255" s="17" t="n">
        <v>16.7325</v>
      </c>
      <c r="J255" s="13" t="n">
        <v>3</v>
      </c>
      <c r="K255" s="13" t="n">
        <v>30.5433333333333</v>
      </c>
      <c r="L255" s="124" t="n">
        <v>91.63</v>
      </c>
      <c r="M255" s="17">
        <f>G255+J255</f>
        <v/>
      </c>
      <c r="N255" s="17">
        <f>O255/M255</f>
        <v/>
      </c>
      <c r="O255" s="17">
        <f>I255+L255</f>
        <v/>
      </c>
    </row>
    <row r="256" ht="27" customHeight="1" s="3">
      <c r="A256" s="6" t="n">
        <v>253</v>
      </c>
      <c r="B256" s="9" t="inlineStr">
        <is>
          <t>YH000021</t>
        </is>
      </c>
      <c r="C256" s="13" t="inlineStr">
        <is>
          <t>易耗品</t>
        </is>
      </c>
      <c r="D256" s="26" t="inlineStr">
        <is>
          <t>垃圾袋（网购）</t>
        </is>
      </c>
      <c r="E256" s="26" t="n"/>
      <c r="F256" s="26" t="inlineStr">
        <is>
          <t>件</t>
        </is>
      </c>
      <c r="G256" s="17" t="n">
        <v>0.5</v>
      </c>
      <c r="H256" s="17" t="n">
        <v>35.05</v>
      </c>
      <c r="I256" s="17" t="n">
        <v>17.525</v>
      </c>
      <c r="J256" s="13" t="n">
        <v>1</v>
      </c>
      <c r="K256" s="13" t="n">
        <v>35.9</v>
      </c>
      <c r="L256" s="124" t="n">
        <v>35.9</v>
      </c>
      <c r="M256" s="17">
        <f>G256+J256</f>
        <v/>
      </c>
      <c r="N256" s="17">
        <f>O256/M256</f>
        <v/>
      </c>
      <c r="O256" s="17">
        <f>I256+L256</f>
        <v/>
      </c>
    </row>
    <row r="257">
      <c r="A257" s="6" t="n">
        <v>254</v>
      </c>
      <c r="B257" s="9" t="inlineStr">
        <is>
          <t>YH000024</t>
        </is>
      </c>
      <c r="C257" s="13" t="inlineStr">
        <is>
          <t>易耗品</t>
        </is>
      </c>
      <c r="D257" s="26" t="inlineStr">
        <is>
          <t>缠绕打包膜</t>
        </is>
      </c>
      <c r="E257" s="26" t="n"/>
      <c r="F257" s="26" t="inlineStr">
        <is>
          <t>件</t>
        </is>
      </c>
      <c r="G257" s="17" t="n">
        <v>1</v>
      </c>
      <c r="H257" s="17" t="n">
        <v>31.13</v>
      </c>
      <c r="I257" s="17" t="n">
        <v>31.13</v>
      </c>
      <c r="J257" s="13" t="n">
        <v>3</v>
      </c>
      <c r="K257" s="13" t="n">
        <v>35.76</v>
      </c>
      <c r="L257" s="124" t="n">
        <v>107.28</v>
      </c>
      <c r="M257" s="17">
        <f>G257+J257</f>
        <v/>
      </c>
      <c r="N257" s="17">
        <f>O257/M257</f>
        <v/>
      </c>
      <c r="O257" s="17">
        <f>I257+L257</f>
        <v/>
      </c>
    </row>
    <row r="258">
      <c r="A258" s="6" t="n">
        <v>255</v>
      </c>
      <c r="B258" s="9" t="inlineStr">
        <is>
          <t>YH000025</t>
        </is>
      </c>
      <c r="C258" s="13" t="inlineStr">
        <is>
          <t>易耗品</t>
        </is>
      </c>
      <c r="D258" s="26" t="inlineStr">
        <is>
          <t>一次性围裙</t>
        </is>
      </c>
      <c r="E258" s="26" t="n"/>
      <c r="F258" s="26" t="inlineStr">
        <is>
          <t>件</t>
        </is>
      </c>
      <c r="G258" s="17" t="n">
        <v>0</v>
      </c>
      <c r="H258" s="17" t="n">
        <v>0</v>
      </c>
      <c r="I258" s="17" t="n">
        <v>0</v>
      </c>
      <c r="J258" s="13" t="n"/>
      <c r="K258" s="13" t="n"/>
      <c r="L258" s="124" t="n"/>
      <c r="M258" s="17">
        <f>G258+J258</f>
        <v/>
      </c>
      <c r="N258" s="17">
        <f>O258/M258</f>
        <v/>
      </c>
      <c r="O258" s="17">
        <f>I258+L258</f>
        <v/>
      </c>
    </row>
    <row r="259">
      <c r="A259" s="6" t="n">
        <v>256</v>
      </c>
      <c r="B259" s="9" t="inlineStr">
        <is>
          <t>YH000026</t>
        </is>
      </c>
      <c r="C259" s="13" t="inlineStr">
        <is>
          <t>易耗品</t>
        </is>
      </c>
      <c r="D259" s="26" t="inlineStr">
        <is>
          <t>托盘</t>
        </is>
      </c>
      <c r="E259" s="26" t="n"/>
      <c r="F259" s="26" t="inlineStr">
        <is>
          <t>件</t>
        </is>
      </c>
      <c r="G259" s="17" t="n">
        <v>0</v>
      </c>
      <c r="H259" s="17" t="n">
        <v>0</v>
      </c>
      <c r="I259" s="17" t="n">
        <v>0</v>
      </c>
      <c r="J259" s="13" t="n"/>
      <c r="K259" s="13" t="n"/>
      <c r="L259" s="124" t="n"/>
      <c r="M259" s="17">
        <f>G259+J259</f>
        <v/>
      </c>
      <c r="N259" s="17">
        <f>O259/M259</f>
        <v/>
      </c>
      <c r="O259" s="17">
        <f>I259+L259</f>
        <v/>
      </c>
    </row>
    <row r="260">
      <c r="A260" s="6" t="n">
        <v>257</v>
      </c>
      <c r="B260" s="9" t="inlineStr">
        <is>
          <t>YH000027</t>
        </is>
      </c>
      <c r="C260" s="13" t="inlineStr">
        <is>
          <t>易耗品</t>
        </is>
      </c>
      <c r="D260" s="26" t="inlineStr">
        <is>
          <t>保鲜膜</t>
        </is>
      </c>
      <c r="E260" s="26" t="n"/>
      <c r="F260" s="26" t="inlineStr">
        <is>
          <t>件</t>
        </is>
      </c>
      <c r="G260" s="17" t="n">
        <v>1</v>
      </c>
      <c r="H260" s="17" t="n">
        <v>24.784</v>
      </c>
      <c r="I260" s="17" t="n">
        <v>24.784</v>
      </c>
      <c r="J260" s="13" t="n"/>
      <c r="K260" s="13" t="n"/>
      <c r="L260" s="124" t="n"/>
      <c r="M260" s="17">
        <f>G260+J260</f>
        <v/>
      </c>
      <c r="N260" s="17">
        <f>O260/M260</f>
        <v/>
      </c>
      <c r="O260" s="17">
        <f>I260+L260</f>
        <v/>
      </c>
    </row>
    <row r="261">
      <c r="A261" s="6" t="n">
        <v>258</v>
      </c>
      <c r="B261" s="9" t="inlineStr">
        <is>
          <t>YH000028</t>
        </is>
      </c>
      <c r="C261" s="13" t="inlineStr">
        <is>
          <t>易耗品</t>
        </is>
      </c>
      <c r="D261" s="26" t="inlineStr">
        <is>
          <t>一次性牙签</t>
        </is>
      </c>
      <c r="E261" s="26" t="n"/>
      <c r="F261" s="26" t="inlineStr">
        <is>
          <t>件</t>
        </is>
      </c>
      <c r="G261" s="17" t="n">
        <v>0</v>
      </c>
      <c r="H261" s="17" t="n">
        <v>0</v>
      </c>
      <c r="I261" s="17" t="n">
        <v>0</v>
      </c>
      <c r="J261" s="13" t="n"/>
      <c r="K261" s="13" t="n"/>
      <c r="L261" s="124" t="n"/>
      <c r="M261" s="17">
        <f>G261+J261</f>
        <v/>
      </c>
      <c r="N261" s="17">
        <f>O261/M261</f>
        <v/>
      </c>
      <c r="O261" s="17">
        <f>I261+L261</f>
        <v/>
      </c>
    </row>
    <row r="262" ht="27" customHeight="1" s="3">
      <c r="A262" s="6" t="n">
        <v>259</v>
      </c>
      <c r="B262" s="9" t="inlineStr">
        <is>
          <t>YH000029</t>
        </is>
      </c>
      <c r="C262" s="13" t="inlineStr">
        <is>
          <t>易耗品</t>
        </is>
      </c>
      <c r="D262" s="26" t="inlineStr">
        <is>
          <t>圆碗DRH-Y350打包盒</t>
        </is>
      </c>
      <c r="E262" s="26" t="n"/>
      <c r="F262" s="26" t="inlineStr">
        <is>
          <t>件</t>
        </is>
      </c>
      <c r="G262" s="6" t="n">
        <v>0.2</v>
      </c>
      <c r="H262" s="17" t="n">
        <v>61.99</v>
      </c>
      <c r="I262" s="6" t="n">
        <v>12.398</v>
      </c>
      <c r="J262" s="13" t="n"/>
      <c r="K262" s="13" t="n"/>
      <c r="L262" s="124" t="n"/>
      <c r="M262" s="17">
        <f>G262+J262</f>
        <v/>
      </c>
      <c r="N262" s="17">
        <f>O262/M262</f>
        <v/>
      </c>
      <c r="O262" s="17">
        <f>I262+L262</f>
        <v/>
      </c>
    </row>
    <row r="263">
      <c r="A263" s="6" t="n">
        <v>260</v>
      </c>
      <c r="B263" s="9" t="inlineStr">
        <is>
          <t>YH000030</t>
        </is>
      </c>
      <c r="C263" s="13" t="inlineStr">
        <is>
          <t>易耗品</t>
        </is>
      </c>
      <c r="D263" s="26" t="inlineStr">
        <is>
          <t>漏勺</t>
        </is>
      </c>
      <c r="E263" s="26" t="n"/>
      <c r="F263" s="26" t="inlineStr">
        <is>
          <t>个</t>
        </is>
      </c>
      <c r="G263" s="17" t="n">
        <v>0</v>
      </c>
      <c r="H263" s="17" t="n">
        <v>0</v>
      </c>
      <c r="I263" s="17" t="n">
        <v>0</v>
      </c>
      <c r="J263" s="13" t="n"/>
      <c r="K263" s="13" t="n"/>
      <c r="L263" s="124" t="n"/>
      <c r="M263" s="17">
        <f>G263+J263</f>
        <v/>
      </c>
      <c r="N263" s="17">
        <f>O263/M263</f>
        <v/>
      </c>
      <c r="O263" s="17">
        <f>I263+L263</f>
        <v/>
      </c>
    </row>
    <row r="264">
      <c r="A264" s="6" t="n">
        <v>261</v>
      </c>
      <c r="B264" s="9" t="inlineStr">
        <is>
          <t>YH000031</t>
        </is>
      </c>
      <c r="C264" s="13" t="inlineStr">
        <is>
          <t>易耗品</t>
        </is>
      </c>
      <c r="D264" s="26" t="inlineStr">
        <is>
          <t>一次性口罩</t>
        </is>
      </c>
      <c r="E264" s="26" t="n"/>
      <c r="F264" s="26" t="inlineStr">
        <is>
          <t>件</t>
        </is>
      </c>
      <c r="G264" s="17" t="n">
        <v>1</v>
      </c>
      <c r="H264" s="17" t="n">
        <v>110</v>
      </c>
      <c r="I264" s="17" t="n">
        <v>110</v>
      </c>
      <c r="J264" s="13" t="n">
        <v>1</v>
      </c>
      <c r="K264" s="13" t="n">
        <v>21.4</v>
      </c>
      <c r="L264" s="124" t="n">
        <v>21.4</v>
      </c>
      <c r="M264" s="17">
        <f>G264+J264</f>
        <v/>
      </c>
      <c r="N264" s="17">
        <f>O264/M264</f>
        <v/>
      </c>
      <c r="O264" s="17">
        <f>I264+L264</f>
        <v/>
      </c>
    </row>
    <row r="265">
      <c r="A265" s="6" t="n">
        <v>262</v>
      </c>
      <c r="B265" s="36" t="inlineStr">
        <is>
          <t>YH000032</t>
        </is>
      </c>
      <c r="C265" s="13" t="inlineStr">
        <is>
          <t>易耗品</t>
        </is>
      </c>
      <c r="D265" s="13" t="inlineStr">
        <is>
          <t>蜡烛</t>
        </is>
      </c>
      <c r="E265" s="26" t="n"/>
      <c r="F265" s="13" t="inlineStr">
        <is>
          <t>盒</t>
        </is>
      </c>
      <c r="G265" s="17" t="n">
        <v>0</v>
      </c>
      <c r="H265" s="17" t="n">
        <v>0</v>
      </c>
      <c r="I265" s="17" t="n">
        <v>0</v>
      </c>
      <c r="J265" s="13" t="n"/>
      <c r="K265" s="13" t="n"/>
      <c r="L265" s="124" t="n"/>
      <c r="M265" s="17">
        <f>G265+J265</f>
        <v/>
      </c>
      <c r="N265" s="17">
        <f>O265/M265</f>
        <v/>
      </c>
      <c r="O265" s="17">
        <f>I265+L265</f>
        <v/>
      </c>
    </row>
    <row r="266">
      <c r="A266" s="6" t="n">
        <v>263</v>
      </c>
      <c r="B266" s="36" t="inlineStr">
        <is>
          <t>YH000033</t>
        </is>
      </c>
      <c r="C266" s="13" t="inlineStr">
        <is>
          <t>易耗品</t>
        </is>
      </c>
      <c r="D266" s="13" t="inlineStr">
        <is>
          <t>塑料打包盒</t>
        </is>
      </c>
      <c r="E266" s="26" t="n"/>
      <c r="F266" s="13" t="inlineStr">
        <is>
          <t>件</t>
        </is>
      </c>
      <c r="G266" s="17" t="n">
        <v>0</v>
      </c>
      <c r="H266" s="17" t="n">
        <v>0</v>
      </c>
      <c r="I266" s="17" t="n">
        <v>0</v>
      </c>
      <c r="J266" s="13" t="n"/>
      <c r="K266" s="13" t="n"/>
      <c r="L266" s="124" t="n"/>
      <c r="M266" s="17">
        <f>G266+J266</f>
        <v/>
      </c>
      <c r="N266" s="17">
        <f>O266/M266</f>
        <v/>
      </c>
      <c r="O266" s="17">
        <f>I266+L266</f>
        <v/>
      </c>
    </row>
    <row r="267">
      <c r="A267" s="6" t="n">
        <v>264</v>
      </c>
      <c r="B267" s="36" t="inlineStr">
        <is>
          <t>YH000034</t>
        </is>
      </c>
      <c r="C267" s="13" t="inlineStr">
        <is>
          <t>易耗品</t>
        </is>
      </c>
      <c r="D267" s="13" t="inlineStr">
        <is>
          <t>打印纸</t>
        </is>
      </c>
      <c r="E267" s="26" t="n"/>
      <c r="F267" s="13" t="inlineStr">
        <is>
          <t>件</t>
        </is>
      </c>
      <c r="G267" s="6" t="n">
        <v>1</v>
      </c>
      <c r="H267" s="17" t="n">
        <v>80</v>
      </c>
      <c r="I267" s="6" t="n">
        <v>80</v>
      </c>
      <c r="J267" s="13" t="n">
        <v>1</v>
      </c>
      <c r="K267" s="13" t="n">
        <v>83.8</v>
      </c>
      <c r="L267" s="124" t="n">
        <v>83.8</v>
      </c>
      <c r="M267" s="17">
        <f>G267+J267</f>
        <v/>
      </c>
      <c r="N267" s="17">
        <f>O267/M267</f>
        <v/>
      </c>
      <c r="O267" s="17">
        <f>I267+L267</f>
        <v/>
      </c>
    </row>
    <row r="268">
      <c r="A268" s="6" t="n">
        <v>265</v>
      </c>
      <c r="B268" s="36" t="inlineStr">
        <is>
          <t>YH000035</t>
        </is>
      </c>
      <c r="C268" s="13" t="inlineStr">
        <is>
          <t>易耗品</t>
        </is>
      </c>
      <c r="D268" s="13" t="inlineStr">
        <is>
          <t>网帽</t>
        </is>
      </c>
      <c r="E268" s="26" t="n"/>
      <c r="F268" s="13" t="inlineStr">
        <is>
          <t>件</t>
        </is>
      </c>
      <c r="G268" s="17" t="n">
        <v>0.2</v>
      </c>
      <c r="H268" s="17" t="n">
        <v>22.5</v>
      </c>
      <c r="I268" s="17" t="n">
        <v>4.5</v>
      </c>
      <c r="J268" s="13" t="n"/>
      <c r="K268" s="13" t="n"/>
      <c r="L268" s="124" t="n"/>
      <c r="M268" s="17">
        <f>G268+J268</f>
        <v/>
      </c>
      <c r="N268" s="17">
        <f>O268/M268</f>
        <v/>
      </c>
      <c r="O268" s="17">
        <f>I268+L268</f>
        <v/>
      </c>
    </row>
    <row r="269">
      <c r="A269" s="6" t="n">
        <v>266</v>
      </c>
      <c r="B269" s="36" t="inlineStr">
        <is>
          <t>YH000036</t>
        </is>
      </c>
      <c r="C269" s="13" t="inlineStr">
        <is>
          <t>易耗品</t>
        </is>
      </c>
      <c r="D269" s="13" t="inlineStr">
        <is>
          <t>鸡翅木筷子（网购）</t>
        </is>
      </c>
      <c r="E269" s="26" t="n"/>
      <c r="F269" s="13" t="inlineStr">
        <is>
          <t>件</t>
        </is>
      </c>
      <c r="G269" s="17" t="n">
        <v>0</v>
      </c>
      <c r="H269" s="17" t="n">
        <v>0</v>
      </c>
      <c r="I269" s="17" t="n">
        <v>0</v>
      </c>
      <c r="J269" s="13" t="n"/>
      <c r="K269" s="13" t="n"/>
      <c r="L269" s="124" t="n"/>
      <c r="M269" s="17">
        <f>G269+J269</f>
        <v/>
      </c>
      <c r="N269" s="17">
        <f>O269/M269</f>
        <v/>
      </c>
      <c r="O269" s="17">
        <f>I269+L269</f>
        <v/>
      </c>
    </row>
    <row r="270">
      <c r="A270" s="6" t="n">
        <v>267</v>
      </c>
      <c r="B270" s="37" t="inlineStr">
        <is>
          <t>YH000037</t>
        </is>
      </c>
      <c r="C270" s="13" t="inlineStr">
        <is>
          <t>易耗品</t>
        </is>
      </c>
      <c r="D270" s="13" t="inlineStr">
        <is>
          <t>洗碗手套</t>
        </is>
      </c>
      <c r="E270" s="26" t="n"/>
      <c r="F270" s="13" t="inlineStr">
        <is>
          <t>件</t>
        </is>
      </c>
      <c r="G270" s="6" t="n">
        <v>0</v>
      </c>
      <c r="H270" s="6" t="n">
        <v>0</v>
      </c>
      <c r="I270" s="138" t="n">
        <v>0</v>
      </c>
      <c r="J270" s="13" t="n"/>
      <c r="K270" s="13" t="n"/>
      <c r="L270" s="124" t="n"/>
      <c r="M270" s="17">
        <f>G270+J270</f>
        <v/>
      </c>
      <c r="N270" s="17">
        <f>O270/M270</f>
        <v/>
      </c>
      <c r="O270" s="17">
        <f>I270+L270</f>
        <v/>
      </c>
    </row>
    <row r="271">
      <c r="A271" s="6" t="n">
        <v>268</v>
      </c>
      <c r="B271" s="37" t="inlineStr">
        <is>
          <t>YH000038</t>
        </is>
      </c>
      <c r="C271" s="13" t="inlineStr">
        <is>
          <t>易耗品</t>
        </is>
      </c>
      <c r="D271" s="13" t="inlineStr">
        <is>
          <t>铝制平锅</t>
        </is>
      </c>
      <c r="E271" s="26" t="n"/>
      <c r="F271" s="13" t="inlineStr">
        <is>
          <t>个</t>
        </is>
      </c>
      <c r="G271" s="6" t="n">
        <v>0</v>
      </c>
      <c r="H271" s="6" t="n">
        <v>0</v>
      </c>
      <c r="I271" s="138" t="n">
        <v>0</v>
      </c>
      <c r="J271" s="13" t="n"/>
      <c r="K271" s="13" t="n"/>
      <c r="L271" s="124" t="n"/>
      <c r="M271" s="17">
        <f>G271+J271</f>
        <v/>
      </c>
      <c r="N271" s="17">
        <f>O271/M271</f>
        <v/>
      </c>
      <c r="O271" s="17">
        <f>I271+L271</f>
        <v/>
      </c>
    </row>
    <row r="272">
      <c r="A272" s="6" t="n">
        <v>269</v>
      </c>
      <c r="B272" s="37" t="inlineStr">
        <is>
          <t>YH000039</t>
        </is>
      </c>
      <c r="C272" s="13" t="inlineStr">
        <is>
          <t>易耗品</t>
        </is>
      </c>
      <c r="D272" s="13" t="inlineStr">
        <is>
          <t>纸杯（网购）</t>
        </is>
      </c>
      <c r="E272" s="39" t="n"/>
      <c r="F272" s="13" t="inlineStr">
        <is>
          <t>件</t>
        </is>
      </c>
      <c r="G272" s="6" t="n">
        <v>0</v>
      </c>
      <c r="H272" s="6" t="n">
        <v>0</v>
      </c>
      <c r="I272" s="138" t="n">
        <v>0</v>
      </c>
      <c r="J272" s="13" t="n"/>
      <c r="K272" s="13" t="n"/>
      <c r="L272" s="124" t="n"/>
      <c r="M272" s="17">
        <f>G272+J272</f>
        <v/>
      </c>
      <c r="N272" s="17">
        <f>O272/M272</f>
        <v/>
      </c>
      <c r="O272" s="17">
        <f>I272+L272</f>
        <v/>
      </c>
    </row>
    <row r="273">
      <c r="A273" s="6" t="inlineStr">
        <is>
          <t>合计：</t>
        </is>
      </c>
      <c r="B273" s="7" t="n"/>
      <c r="C273" s="7" t="n"/>
      <c r="D273" s="7" t="n"/>
      <c r="E273" s="7" t="n"/>
      <c r="F273" s="8" t="n"/>
      <c r="G273" s="10" t="n"/>
      <c r="H273" s="10" t="n"/>
      <c r="I273" s="10">
        <f>SUM(I4:I272)</f>
        <v/>
      </c>
      <c r="J273" s="10" t="n"/>
      <c r="K273" s="10" t="n"/>
      <c r="L273" s="10">
        <f>SUM(L4:L272)</f>
        <v/>
      </c>
      <c r="M273" s="10" t="n"/>
      <c r="N273" s="10" t="n"/>
      <c r="O273" s="10">
        <f>SUM(O4:O272)</f>
        <v/>
      </c>
    </row>
  </sheetData>
  <mergeCells count="11">
    <mergeCell ref="G2:I2"/>
    <mergeCell ref="J2:L2"/>
    <mergeCell ref="C2:C3"/>
    <mergeCell ref="A273:F273"/>
    <mergeCell ref="A1:O1"/>
    <mergeCell ref="A2:A3"/>
    <mergeCell ref="B2:B3"/>
    <mergeCell ref="D2:D3"/>
    <mergeCell ref="F2:F3"/>
    <mergeCell ref="E2:E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86183</dc:creator>
  <dcterms:created xmlns:dcterms="http://purl.org/dc/terms/" xmlns:xsi="http://www.w3.org/2001/XMLSchema-instance" xsi:type="dcterms:W3CDTF">2025-06-12T10:17:00Z</dcterms:created>
  <dcterms:modified xmlns:dcterms="http://purl.org/dc/terms/" xmlns:xsi="http://www.w3.org/2001/XMLSchema-instance" xsi:type="dcterms:W3CDTF">2026-10-13T08:38:21Z</dcterms:modified>
  <cp:lastModifiedBy>白日梦蓝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1893FE64696B4A1DBD79731FD145F444_13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